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 kumar\Documents\"/>
    </mc:Choice>
  </mc:AlternateContent>
  <xr:revisionPtr revIDLastSave="0" documentId="8_{886DB599-153C-4B46-906A-568D6FFA0A5D}" xr6:coauthVersionLast="47" xr6:coauthVersionMax="47" xr10:uidLastSave="{00000000-0000-0000-0000-000000000000}"/>
  <bookViews>
    <workbookView xWindow="-108" yWindow="-108" windowWidth="23256" windowHeight="12456" xr2:uid="{A499D537-CED3-4FED-BCDD-F7071D452A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D12" i="1" s="1"/>
  <c r="B13" i="1"/>
  <c r="C13" i="1" s="1"/>
  <c r="D13" i="1" s="1"/>
  <c r="B2" i="1"/>
  <c r="C2" i="1" s="1"/>
  <c r="B18" i="1" l="1"/>
  <c r="B17" i="1"/>
  <c r="E2" i="1"/>
  <c r="E13" i="1"/>
  <c r="E12" i="1"/>
  <c r="E11" i="1"/>
  <c r="E10" i="1"/>
  <c r="E9" i="1"/>
  <c r="E8" i="1"/>
  <c r="E7" i="1"/>
  <c r="E6" i="1"/>
  <c r="E5" i="1"/>
  <c r="E4" i="1"/>
  <c r="E3" i="1"/>
  <c r="D11" i="1"/>
  <c r="D10" i="1"/>
  <c r="D9" i="1"/>
  <c r="D8" i="1"/>
  <c r="D7" i="1"/>
  <c r="D6" i="1"/>
  <c r="D5" i="1"/>
  <c r="D4" i="1"/>
  <c r="D3" i="1"/>
  <c r="D2" i="1"/>
  <c r="B16" i="1"/>
  <c r="B19" i="1" l="1"/>
</calcChain>
</file>

<file path=xl/sharedStrings.xml><?xml version="1.0" encoding="utf-8"?>
<sst xmlns="http://schemas.openxmlformats.org/spreadsheetml/2006/main" count="12" uniqueCount="12">
  <si>
    <t>cost</t>
  </si>
  <si>
    <t>profit</t>
  </si>
  <si>
    <t>Month</t>
  </si>
  <si>
    <t>Sales Amount</t>
  </si>
  <si>
    <t>Total Sales</t>
  </si>
  <si>
    <t>Total Cost</t>
  </si>
  <si>
    <t>Total Profit</t>
  </si>
  <si>
    <t>Profit Margin</t>
  </si>
  <si>
    <t>Margin</t>
  </si>
  <si>
    <t>Business name</t>
  </si>
  <si>
    <t>No Of Customer</t>
  </si>
  <si>
    <t>pavan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</si>
</sst>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4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1" xfId="0" applyNumberFormat="1" applyBorder="1" applyAlignment="1">
      <alignment horizontal="center" vertical="top"/>
    </xf>
    <xf numFmtId="9" fontId="0" fillId="0" borderId="0" xfId="0" applyNumberFormat="1"/>
    <xf numFmtId="1" fontId="0" fillId="0" borderId="1" xfId="0" applyNumberFormat="1" applyBorder="1" applyAlignment="1">
      <alignment horizontal="center"/>
    </xf>
    <xf numFmtId="174" fontId="0" fillId="0" borderId="0" xfId="1" applyNumberFormat="1" applyFont="1"/>
    <xf numFmtId="10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 vertical="top"/>
    </xf>
    <xf numFmtId="1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8"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64856-4079-499F-A81D-7D414A2F8903}" name="Table1" displayName="Table1" ref="A1:E13" totalsRowShown="0" headerRowBorderDxfId="6" tableBorderDxfId="7" totalsRowBorderDxfId="5">
  <autoFilter ref="A1:E13" xr:uid="{E9464856-4079-499F-A81D-7D414A2F8903}"/>
  <tableColumns count="5">
    <tableColumn id="1" xr3:uid="{C8B676CE-6613-490D-9CC2-2F9D3602EC1E}" name="Month" dataDxfId="4"/>
    <tableColumn id="2" xr3:uid="{DA7922BF-FD27-4A6D-94E2-BEE9FAB1AD66}" name="Sales Amount" dataDxfId="3">
      <calculatedColumnFormula>RANDBETWEEN(1500,2000)</calculatedColumnFormula>
    </tableColumn>
    <tableColumn id="3" xr3:uid="{FDDC7F02-B0E3-44C8-8E88-40BE51022A7D}" name="cost" dataDxfId="2">
      <calculatedColumnFormula>(B2*40)/100</calculatedColumnFormula>
    </tableColumn>
    <tableColumn id="4" xr3:uid="{29ABA76F-2E6A-4168-92BC-A03C97474866}" name="profit" dataDxfId="1">
      <calculatedColumnFormula>B2-C2</calculatedColumnFormula>
    </tableColumn>
    <tableColumn id="5" xr3:uid="{5857129F-6DC1-497D-A24A-210D01695FAB}" name="Margin" dataDxfId="0">
      <calculatedColumnFormula>(B2-C2)/B2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0C21-B614-4D41-BA4A-04119CB919B8}">
  <dimension ref="A1:F19"/>
  <sheetViews>
    <sheetView tabSelected="1" workbookViewId="0">
      <selection activeCell="G6" sqref="G6"/>
    </sheetView>
  </sheetViews>
  <sheetFormatPr defaultRowHeight="14.4" x14ac:dyDescent="0.3"/>
  <cols>
    <col min="1" max="1" width="16.88671875" customWidth="1"/>
    <col min="2" max="2" width="22.5546875" customWidth="1"/>
    <col min="4" max="4" width="10" customWidth="1"/>
    <col min="5" max="5" width="16.44140625" customWidth="1"/>
    <col min="6" max="6" width="18.33203125" customWidth="1"/>
  </cols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8</v>
      </c>
    </row>
    <row r="2" spans="1:6" x14ac:dyDescent="0.3">
      <c r="A2" s="7">
        <v>45658</v>
      </c>
      <c r="B2" s="2">
        <f ca="1">RANDBETWEEN(1500,2000)</f>
        <v>1805</v>
      </c>
      <c r="C2" s="4">
        <f ca="1">(B2*40)/100</f>
        <v>722</v>
      </c>
      <c r="D2" s="4">
        <f ca="1">B2-C2</f>
        <v>1083</v>
      </c>
      <c r="E2" s="8">
        <f ca="1">(B2-C2)/B2</f>
        <v>0.6</v>
      </c>
    </row>
    <row r="3" spans="1:6" x14ac:dyDescent="0.3">
      <c r="A3" s="7">
        <v>45659</v>
      </c>
      <c r="B3" s="2">
        <f t="shared" ref="B3:B13" ca="1" si="0">RANDBETWEEN(1500,2000)</f>
        <v>1659</v>
      </c>
      <c r="C3" s="4">
        <f t="shared" ref="C3:C13" ca="1" si="1">(B3*40)/100</f>
        <v>663.6</v>
      </c>
      <c r="D3" s="4">
        <f t="shared" ref="D3:D13" ca="1" si="2">B3-C3</f>
        <v>995.4</v>
      </c>
      <c r="E3" s="8">
        <f t="shared" ref="E3:E13" ca="1" si="3">(B3-C3)/B3</f>
        <v>0.6</v>
      </c>
    </row>
    <row r="4" spans="1:6" x14ac:dyDescent="0.3">
      <c r="A4" s="7">
        <v>45660</v>
      </c>
      <c r="B4" s="2">
        <f t="shared" ca="1" si="0"/>
        <v>1837</v>
      </c>
      <c r="C4" s="4">
        <f t="shared" ca="1" si="1"/>
        <v>734.8</v>
      </c>
      <c r="D4" s="4">
        <f t="shared" ca="1" si="2"/>
        <v>1102.2</v>
      </c>
      <c r="E4" s="8">
        <f t="shared" ca="1" si="3"/>
        <v>0.6</v>
      </c>
    </row>
    <row r="5" spans="1:6" x14ac:dyDescent="0.3">
      <c r="A5" s="7">
        <v>45661</v>
      </c>
      <c r="B5" s="2">
        <f t="shared" ca="1" si="0"/>
        <v>1889</v>
      </c>
      <c r="C5" s="4">
        <f t="shared" ca="1" si="1"/>
        <v>755.6</v>
      </c>
      <c r="D5" s="4">
        <f t="shared" ca="1" si="2"/>
        <v>1133.4000000000001</v>
      </c>
      <c r="E5" s="8">
        <f t="shared" ca="1" si="3"/>
        <v>0.60000000000000009</v>
      </c>
    </row>
    <row r="6" spans="1:6" x14ac:dyDescent="0.3">
      <c r="A6" s="7">
        <v>45662</v>
      </c>
      <c r="B6" s="2">
        <f t="shared" ca="1" si="0"/>
        <v>1654</v>
      </c>
      <c r="C6" s="4">
        <f t="shared" ca="1" si="1"/>
        <v>661.6</v>
      </c>
      <c r="D6" s="4">
        <f t="shared" ca="1" si="2"/>
        <v>992.4</v>
      </c>
      <c r="E6" s="8">
        <f t="shared" ca="1" si="3"/>
        <v>0.6</v>
      </c>
    </row>
    <row r="7" spans="1:6" x14ac:dyDescent="0.3">
      <c r="A7" s="7">
        <v>45663</v>
      </c>
      <c r="B7" s="2">
        <f t="shared" ca="1" si="0"/>
        <v>1748</v>
      </c>
      <c r="C7" s="4">
        <f t="shared" ca="1" si="1"/>
        <v>699.2</v>
      </c>
      <c r="D7" s="4">
        <f t="shared" ca="1" si="2"/>
        <v>1048.8</v>
      </c>
      <c r="E7" s="8">
        <f t="shared" ca="1" si="3"/>
        <v>0.6</v>
      </c>
    </row>
    <row r="8" spans="1:6" x14ac:dyDescent="0.3">
      <c r="A8" s="7">
        <v>45664</v>
      </c>
      <c r="B8" s="2">
        <f t="shared" ca="1" si="0"/>
        <v>1939</v>
      </c>
      <c r="C8" s="4">
        <f t="shared" ca="1" si="1"/>
        <v>775.6</v>
      </c>
      <c r="D8" s="4">
        <f t="shared" ca="1" si="2"/>
        <v>1163.4000000000001</v>
      </c>
      <c r="E8" s="8">
        <f t="shared" ca="1" si="3"/>
        <v>0.60000000000000009</v>
      </c>
    </row>
    <row r="9" spans="1:6" x14ac:dyDescent="0.3">
      <c r="A9" s="7">
        <v>45665</v>
      </c>
      <c r="B9" s="2">
        <f t="shared" ca="1" si="0"/>
        <v>1912</v>
      </c>
      <c r="C9" s="4">
        <f t="shared" ca="1" si="1"/>
        <v>764.8</v>
      </c>
      <c r="D9" s="4">
        <f t="shared" ca="1" si="2"/>
        <v>1147.2</v>
      </c>
      <c r="E9" s="8">
        <f t="shared" ca="1" si="3"/>
        <v>0.6</v>
      </c>
    </row>
    <row r="10" spans="1:6" x14ac:dyDescent="0.3">
      <c r="A10" s="7">
        <v>45666</v>
      </c>
      <c r="B10" s="2">
        <f t="shared" ca="1" si="0"/>
        <v>1845</v>
      </c>
      <c r="C10" s="4">
        <f t="shared" ca="1" si="1"/>
        <v>738</v>
      </c>
      <c r="D10" s="4">
        <f t="shared" ca="1" si="2"/>
        <v>1107</v>
      </c>
      <c r="E10" s="8">
        <f t="shared" ca="1" si="3"/>
        <v>0.6</v>
      </c>
    </row>
    <row r="11" spans="1:6" x14ac:dyDescent="0.3">
      <c r="A11" s="7">
        <v>45667</v>
      </c>
      <c r="B11" s="2">
        <f t="shared" ca="1" si="0"/>
        <v>1516</v>
      </c>
      <c r="C11" s="4">
        <f t="shared" ca="1" si="1"/>
        <v>606.4</v>
      </c>
      <c r="D11" s="4">
        <f t="shared" ca="1" si="2"/>
        <v>909.6</v>
      </c>
      <c r="E11" s="8">
        <f t="shared" ca="1" si="3"/>
        <v>0.6</v>
      </c>
    </row>
    <row r="12" spans="1:6" x14ac:dyDescent="0.3">
      <c r="A12" s="7">
        <v>45668</v>
      </c>
      <c r="B12" s="2">
        <f t="shared" ca="1" si="0"/>
        <v>1557</v>
      </c>
      <c r="C12" s="4">
        <f t="shared" ca="1" si="1"/>
        <v>622.79999999999995</v>
      </c>
      <c r="D12" s="4">
        <f t="shared" ca="1" si="2"/>
        <v>934.2</v>
      </c>
      <c r="E12" s="8">
        <f t="shared" ca="1" si="3"/>
        <v>0.6</v>
      </c>
    </row>
    <row r="13" spans="1:6" x14ac:dyDescent="0.3">
      <c r="A13" s="9">
        <v>45669</v>
      </c>
      <c r="B13" s="10">
        <f t="shared" ca="1" si="0"/>
        <v>1598</v>
      </c>
      <c r="C13" s="11">
        <f t="shared" ca="1" si="1"/>
        <v>639.20000000000005</v>
      </c>
      <c r="D13" s="11">
        <f t="shared" ca="1" si="2"/>
        <v>958.8</v>
      </c>
      <c r="E13" s="12">
        <f t="shared" ca="1" si="3"/>
        <v>0.6</v>
      </c>
    </row>
    <row r="14" spans="1:6" x14ac:dyDescent="0.3">
      <c r="A14" s="1"/>
      <c r="E14" s="6"/>
    </row>
    <row r="16" spans="1:6" x14ac:dyDescent="0.3">
      <c r="A16" t="s">
        <v>4</v>
      </c>
      <c r="B16" s="5">
        <f ca="1">SUM(B2:B13)</f>
        <v>20959</v>
      </c>
      <c r="E16" t="s">
        <v>9</v>
      </c>
      <c r="F16" s="1" t="str">
        <f>Sheet2!A1</f>
        <v>pavan traders</v>
      </c>
    </row>
    <row r="17" spans="1:6" x14ac:dyDescent="0.3">
      <c r="A17" t="s">
        <v>5</v>
      </c>
      <c r="B17" s="5">
        <f t="shared" ref="B17:B18" ca="1" si="4">SUM(B3:B14)</f>
        <v>19154</v>
      </c>
      <c r="E17" t="s">
        <v>10</v>
      </c>
      <c r="F17">
        <f>Sheet2!A2</f>
        <v>20</v>
      </c>
    </row>
    <row r="18" spans="1:6" x14ac:dyDescent="0.3">
      <c r="A18" t="s">
        <v>6</v>
      </c>
      <c r="B18" s="5">
        <f t="shared" ca="1" si="4"/>
        <v>17495</v>
      </c>
    </row>
    <row r="19" spans="1:6" x14ac:dyDescent="0.3">
      <c r="A19" t="s">
        <v>7</v>
      </c>
      <c r="B19" s="3">
        <f ca="1">(B16-B17)/B17</f>
        <v>9.4236190873968881E-2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FB6D-FDC9-4BE6-AC20-5E0D0385AD36}">
  <dimension ref="A1:A2"/>
  <sheetViews>
    <sheetView workbookViewId="0"/>
  </sheetViews>
  <sheetFormatPr defaultRowHeight="14.4" x14ac:dyDescent="0.3"/>
  <cols>
    <col min="1" max="1" width="23.5546875" customWidth="1"/>
  </cols>
  <sheetData>
    <row r="1" spans="1:1" x14ac:dyDescent="0.3">
      <c r="A1" t="s">
        <v>11</v>
      </c>
    </row>
    <row r="2" spans="1:1" x14ac:dyDescent="0.3">
      <c r="A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PAVAN KUMAR</dc:creator>
  <cp:lastModifiedBy>CH PAVAN KUMAR</cp:lastModifiedBy>
  <dcterms:created xsi:type="dcterms:W3CDTF">2025-12-02T05:37:20Z</dcterms:created>
  <dcterms:modified xsi:type="dcterms:W3CDTF">2025-12-02T06:56:19Z</dcterms:modified>
</cp:coreProperties>
</file>