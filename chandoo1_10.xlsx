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an kumar\Documents\"/>
    </mc:Choice>
  </mc:AlternateContent>
  <xr:revisionPtr revIDLastSave="0" documentId="13_ncr:1_{F7A6273F-C6BE-4EF6-96F2-21CE9B673F6D}" xr6:coauthVersionLast="47" xr6:coauthVersionMax="47" xr10:uidLastSave="{00000000-0000-0000-0000-000000000000}"/>
  <bookViews>
    <workbookView xWindow="-108" yWindow="-108" windowWidth="23256" windowHeight="12456" activeTab="9" xr2:uid="{26D4546B-D2A1-4444-8EAF-A6228F96F0C1}"/>
  </bookViews>
  <sheets>
    <sheet name="Concepts" sheetId="2" r:id="rId1"/>
    <sheet name="1" sheetId="3" r:id="rId2"/>
    <sheet name="2 &amp; 3" sheetId="4" r:id="rId3"/>
    <sheet name="4" sheetId="5" r:id="rId4"/>
    <sheet name="5" sheetId="6" r:id="rId5"/>
    <sheet name="6 &amp; 7" sheetId="7" r:id="rId6"/>
    <sheet name="8" sheetId="8" r:id="rId7"/>
    <sheet name="9" sheetId="9" r:id="rId8"/>
    <sheet name="10" sheetId="10" r:id="rId9"/>
    <sheet name="Data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0" l="1"/>
  <c r="E7" i="10"/>
  <c r="E9" i="10"/>
  <c r="E10" i="10"/>
  <c r="E11" i="10"/>
  <c r="E12" i="10"/>
  <c r="E13" i="10"/>
  <c r="E14" i="10"/>
  <c r="E15" i="10"/>
  <c r="E16" i="10"/>
  <c r="E17" i="10"/>
  <c r="E18" i="10"/>
  <c r="E6" i="10"/>
  <c r="D3" i="10"/>
  <c r="C3" i="10"/>
  <c r="D6" i="10" a="1"/>
  <c r="D6" i="10" s="1"/>
  <c r="C14" i="10"/>
  <c r="C15" i="10"/>
  <c r="C16" i="10"/>
  <c r="C17" i="10"/>
  <c r="C18" i="10"/>
  <c r="C7" i="10"/>
  <c r="C8" i="10"/>
  <c r="C9" i="10"/>
  <c r="C10" i="10"/>
  <c r="C11" i="10"/>
  <c r="C12" i="10"/>
  <c r="C13" i="10"/>
  <c r="C6" i="10"/>
  <c r="B6" i="10" a="1"/>
  <c r="B6" i="10" s="1"/>
  <c r="G4" i="9" a="1"/>
  <c r="G4" i="9" s="1"/>
  <c r="B4" i="9" a="1"/>
  <c r="B4" i="9" s="1"/>
  <c r="C8" i="8" a="1"/>
  <c r="C8" i="8" s="1"/>
  <c r="C4" i="8" a="1"/>
  <c r="C4" i="8" s="1"/>
  <c r="G7" i="7" a="1"/>
  <c r="G7" i="7" s="1"/>
  <c r="C22" i="7"/>
  <c r="C21" i="7"/>
  <c r="C20" i="7"/>
  <c r="E9" i="7"/>
  <c r="E8" i="7"/>
  <c r="E7" i="7"/>
  <c r="E6" i="7"/>
  <c r="C9" i="7"/>
  <c r="C8" i="7"/>
  <c r="C7" i="7"/>
  <c r="C6" i="7"/>
  <c r="B4" i="6" a="1"/>
  <c r="B4" i="6" s="1"/>
  <c r="D5" i="6" s="1" a="1"/>
  <c r="D5" i="6" s="1"/>
  <c r="C12" i="5" a="1"/>
  <c r="C12" i="5" s="1"/>
  <c r="E5" i="5"/>
  <c r="D5" i="5"/>
  <c r="E4" i="5"/>
  <c r="D4" i="5"/>
  <c r="C10" i="5"/>
  <c r="C9" i="5"/>
  <c r="C8" i="5"/>
  <c r="C7" i="5"/>
  <c r="C6" i="5"/>
  <c r="C5" i="5"/>
  <c r="C4" i="5"/>
  <c r="I70" i="4" a="1"/>
  <c r="I70" i="4" s="1"/>
  <c r="B70" i="4" a="1"/>
  <c r="B70" i="4" s="1"/>
  <c r="B71" i="4" a="1"/>
  <c r="B71" i="4" s="1"/>
  <c r="I71" i="4" a="1"/>
  <c r="I71" i="4" s="1"/>
  <c r="B2" i="4" a="1"/>
  <c r="B2" i="4" s="1"/>
  <c r="B3" i="4" a="1"/>
  <c r="B3" i="4" s="1"/>
  <c r="F15" i="3"/>
  <c r="F4" i="3"/>
  <c r="F5" i="3"/>
  <c r="F6" i="3"/>
  <c r="F7" i="3"/>
  <c r="F8" i="3"/>
  <c r="F9" i="3"/>
  <c r="F10" i="3"/>
  <c r="F11" i="3"/>
  <c r="F12" i="3"/>
  <c r="F13" i="3"/>
  <c r="F14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3" i="3"/>
  <c r="C4" i="3"/>
  <c r="C5" i="3"/>
  <c r="C6" i="3"/>
  <c r="C7" i="3"/>
  <c r="C8" i="3"/>
  <c r="C9" i="3"/>
  <c r="C10" i="3"/>
  <c r="C11" i="3"/>
  <c r="C12" i="3"/>
  <c r="C13" i="3"/>
  <c r="C14" i="3"/>
  <c r="C15" i="3"/>
  <c r="C3" i="3"/>
  <c r="C18" i="7"/>
  <c r="F3" i="6" l="1"/>
  <c r="D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<sst xmlns="http://schemas.openxmlformats.org/spreadsheetml/2006/main" count="2450" uniqueCount="799">
  <si>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</si>
  <si>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</si>
  <si>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</si>
  <si>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</si>
  <si>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</si>
  <si>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</si>
  <si>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</si>
  <si>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</si>
  <si>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</si>
  <si>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</si>
  <si>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</si>
  <si>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</si>
  <si>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</si>
  <si>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</si>
  <si>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</si>
  <si>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</si>
  <si>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</si>
  <si>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</si>
  <si>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</si>
  <si>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</si>
  <si>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</si>
  <si>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</si>
  <si>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</si>
  <si>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</si>
  <si>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</si>
  <si>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</si>
  <si>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</si>
  <si>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</si>
  <si>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</si>
  <si>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</si>
  <si>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</si>
  <si>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</si>
  <si>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</si>
  <si>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</si>
  <si>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</si>
  <si>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</si>
  <si>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</si>
  <si>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</si>
  <si>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</si>
  <si>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</si>
  <si>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</si>
  <si>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</si>
  <si>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</si>
  <si>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</si>
  <si>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</si>
  <si>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</si>
  <si>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</si>
  <si>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</si>
  <si>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</si>
  <si>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</si>
  <si>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</si>
  <si>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</si>
  <si>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</si>
  <si>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</si>
  <si>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</si>
  <si>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</si>
  <si>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</si>
  <si>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</si>
  <si>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</si>
  <si>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</si>
  <si>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</si>
  <si>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</si>
  <si>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</si>
  <si>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</si>
  <si>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</si>
  <si>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</si>
  <si>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</si>
  <si>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</si>
  <si>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</si>
  <si>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</si>
  <si>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</si>
  <si>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</si>
  <si>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</si>
  <si>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</si>
  <si>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</si>
  <si>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</si>
  <si>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</si>
  <si>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</si>
  <si>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</si>
  <si>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</si>
  <si>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</si>
  <si>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</si>
  <si>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</si>
  <si>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</si>
  <si>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</si>
  <si>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</si>
  <si>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</si>
  <si>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</si>
  <si>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</si>
  <si>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</si>
  <si>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</si>
  <si>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</si>
  <si>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</si>
  <si>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</si>
  <si>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</si>
  <si>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</si>
  <si>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</si>
  <si>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</si>
  <si>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</si>
  <si>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</si>
  <si>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</si>
  <si>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</si>
  <si>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</si>
  <si>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</si>
  <si>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</si>
  <si>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</si>
  <si>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</si>
  <si>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</si>
  <si>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</si>
  <si>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</si>
  <si>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</si>
  <si>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</si>
  <si>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</si>
  <si>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</si>
  <si>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</si>
  <si>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</si>
  <si>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</si>
  <si>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</si>
  <si>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</si>
  <si>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</si>
  <si>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</si>
  <si>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</si>
  <si>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</si>
  <si>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</si>
  <si>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</si>
  <si>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</si>
  <si>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</si>
  <si>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</si>
  <si>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</si>
  <si>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</si>
  <si>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</si>
  <si>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</si>
  <si>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</si>
  <si>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</si>
  <si>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</si>
  <si>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</si>
  <si>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</si>
  <si>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</si>
  <si>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</si>
  <si>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</si>
  <si>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</si>
  <si>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</si>
  <si>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</si>
  <si>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</si>
  <si>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</si>
  <si>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</si>
  <si>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</si>
  <si>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</si>
  <si>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</si>
  <si>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</si>
  <si>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</si>
  <si>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</si>
  <si>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</si>
  <si>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</si>
  <si>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</si>
  <si>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</si>
  <si>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</si>
  <si>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</si>
  <si>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</si>
  <si>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</si>
  <si>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</si>
  <si>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</si>
  <si>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</si>
  <si>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</si>
  <si>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</si>
  <si>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</si>
  <si>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</si>
  <si>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</si>
  <si>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</si>
  <si>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</si>
  <si>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</si>
  <si>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</si>
  <si>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</si>
  <si>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</si>
  <si>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</si>
  <si>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</si>
  <si>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</si>
  <si>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</si>
  <si>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</si>
  <si>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</si>
  <si>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</si>
  <si>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</si>
  <si>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</si>
  <si>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</si>
  <si>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</si>
  <si>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</si>
  <si>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</si>
  <si>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</si>
  <si>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</si>
  <si>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</si>
  <si>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</si>
  <si>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</si>
  <si>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</si>
  <si>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</si>
  <si>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</si>
  <si>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</si>
  <si>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</si>
  <si>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</si>
  <si>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</si>
  <si>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</si>
  <si>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</si>
  <si>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</si>
  <si>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</si>
  <si>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</si>
  <si>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</si>
  <si>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</si>
  <si>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</si>
  <si>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</si>
  <si>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</si>
  <si>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</si>
  <si>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</si>
  <si>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</si>
  <si>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</si>
  <si>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</si>
  <si>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</si>
  <si>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</si>
  <si>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</si>
  <si>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</si>
  <si>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</si>
  <si>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</si>
  <si>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</si>
  <si>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</si>
  <si>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</si>
  <si>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</si>
  <si>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</si>
  <si>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</si>
  <si>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</si>
  <si>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</si>
  <si>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</si>
  <si>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</si>
  <si>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</si>
  <si>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</si>
  <si>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</si>
  <si>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</si>
  <si>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</si>
  <si>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</si>
  <si>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</si>
  <si>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</si>
  <si>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</si>
  <si>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</si>
  <si>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</si>
  <si>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</si>
  <si>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</si>
  <si>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</si>
  <si>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</si>
  <si>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</si>
  <si>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</si>
  <si>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</si>
  <si>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</si>
  <si>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</si>
  <si>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</si>
  <si>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</si>
  <si>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</si>
  <si>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</si>
  <si>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</si>
  <si>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</si>
  <si>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</si>
  <si>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</si>
  <si>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</si>
  <si>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</si>
  <si>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</si>
  <si>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</si>
  <si>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</si>
  <si>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</si>
  <si>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</si>
  <si>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</si>
  <si>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</si>
  <si>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</si>
  <si>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</si>
  <si>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</si>
  <si>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</si>
  <si>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</si>
  <si>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</si>
  <si>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</si>
  <si>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</si>
  <si>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</si>
  <si>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</si>
  <si>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</si>
  <si>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</si>
  <si>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</si>
  <si>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</si>
  <si>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</si>
  <si>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</si>
  <si>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</si>
  <si>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</si>
  <si>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</si>
  <si>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</si>
  <si>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</si>
  <si>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</si>
  <si>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</si>
  <si>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</si>
  <si>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</si>
  <si>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</si>
  <si>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</si>
  <si>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</si>
  <si>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</si>
  <si>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</si>
  <si>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</si>
  <si>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</si>
  <si>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</si>
  <si>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</si>
  <si>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</si>
  <si>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</si>
  <si>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</si>
  <si>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</si>
  <si>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</si>
  <si>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</si>
  <si>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</si>
  <si>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</si>
  <si>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</si>
  <si>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</si>
  <si>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</si>
  <si>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</si>
  <si>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</si>
  <si>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</si>
  <si>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</si>
  <si>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</si>
  <si>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</si>
  <si>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</si>
  <si>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</si>
  <si>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</si>
  <si>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</si>
  <si>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</si>
  <si>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</si>
  <si>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</si>
  <si>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</si>
  <si>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</si>
  <si>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</si>
  <si>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</si>
  <si>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</si>
  <si>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</si>
  <si>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</si>
  <si>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</si>
  <si>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</si>
  <si>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</si>
  <si>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</si>
  <si>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</si>
  <si>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</si>
  <si>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</si>
  <si>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</si>
  <si>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</si>
  <si>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</si>
  <si>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</si>
  <si>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</si>
  <si>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</si>
  <si>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</si>
  <si>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</si>
  <si>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</si>
  <si>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</si>
  <si>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</si>
  <si>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</si>
  <si>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</si>
  <si>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</si>
  <si>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</si>
  <si>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</si>
  <si>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</si>
  <si>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</si>
  <si>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</si>
  <si>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</si>
  <si>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</si>
  <si>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</si>
  <si>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</si>
  <si>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</si>
  <si>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</si>
  <si>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</si>
  <si>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</si>
  <si>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</si>
  <si>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</si>
  <si>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</si>
  <si>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</si>
  <si>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</si>
  <si>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</si>
  <si>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</si>
  <si>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</si>
  <si>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</si>
  <si>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</si>
  <si>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</si>
  <si>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</si>
  <si>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</si>
  <si>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</si>
  <si>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</si>
  <si>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</si>
  <si>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</si>
  <si>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</si>
  <si>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</si>
  <si>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</si>
  <si>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</si>
  <si>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</si>
  <si>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</si>
  <si>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</si>
  <si>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</si>
  <si>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</si>
  <si>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</si>
  <si>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</si>
  <si>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</si>
  <si>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</si>
  <si>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</si>
  <si>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</si>
  <si>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</si>
  <si>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</si>
  <si>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</si>
  <si>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</si>
  <si>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</si>
  <si>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</si>
  <si>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</si>
  <si>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</si>
  <si>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</si>
  <si>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</si>
  <si>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</si>
  <si>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</si>
  <si>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</si>
  <si>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</si>
  <si>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</si>
  <si>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</si>
  <si>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</si>
  <si>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</si>
  <si>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</si>
  <si>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</si>
  <si>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</si>
  <si>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</si>
  <si>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</si>
  <si>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</si>
  <si>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</si>
  <si>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</si>
  <si>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</si>
  <si>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</si>
  <si>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</si>
  <si>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</si>
  <si>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</si>
  <si>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</si>
  <si>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</si>
  <si>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</si>
  <si>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</si>
  <si>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</si>
  <si>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</si>
  <si>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</si>
  <si>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</si>
  <si>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</si>
  <si>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</si>
  <si>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</si>
  <si>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</si>
  <si>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</si>
  <si>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</si>
  <si>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</si>
  <si>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</si>
  <si>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</si>
  <si>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</si>
  <si>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</si>
  <si>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</si>
  <si>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</si>
  <si>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</si>
  <si>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</si>
  <si>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</si>
  <si>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</si>
  <si>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</si>
  <si>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</si>
  <si>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</si>
  <si>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</si>
  <si>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</si>
  <si>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</si>
  <si>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</si>
  <si>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</si>
  <si>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</si>
  <si>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</si>
  <si>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</si>
  <si>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</si>
  <si>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</si>
  <si>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</si>
  <si>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</si>
  <si>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</si>
  <si>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</si>
  <si>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</si>
  <si>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</si>
  <si>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</si>
  <si>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</si>
  <si>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</si>
  <si>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</si>
  <si>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</si>
  <si>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</si>
  <si>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</si>
  <si>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</si>
  <si>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</si>
  <si>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</si>
  <si>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</si>
  <si>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</si>
  <si>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</si>
  <si>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</si>
  <si>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</si>
  <si>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</si>
  <si>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</si>
  <si>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</si>
  <si>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</si>
  <si>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</si>
  <si>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</si>
  <si>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</si>
  <si>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</si>
  <si>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</si>
  <si>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</si>
  <si>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</si>
  <si>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</si>
  <si>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</si>
  <si>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</si>
  <si>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</si>
  <si>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</si>
  <si>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</si>
  <si>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</si>
  <si>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</si>
  <si>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</si>
  <si>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</si>
  <si>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</si>
  <si>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</si>
  <si>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</si>
  <si>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</si>
  <si>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</si>
  <si>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</si>
  <si>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</si>
  <si>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</si>
  <si>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</si>
  <si>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</si>
  <si>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</si>
  <si>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</si>
  <si>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</si>
  <si>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</si>
  <si>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</si>
  <si>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</si>
  <si>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</si>
  <si>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</si>
  <si>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</si>
  <si>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</si>
  <si>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</si>
  <si>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</si>
  <si>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</si>
  <si>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</si>
  <si>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</si>
  <si>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</si>
  <si>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</si>
  <si>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</si>
  <si>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</si>
  <si>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</si>
  <si>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</si>
  <si>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</si>
  <si>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</si>
  <si>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</si>
  <si>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</si>
  <si>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</si>
  <si>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</si>
  <si>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</si>
  <si>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</si>
  <si>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</si>
  <si>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</si>
  <si>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</si>
  <si>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</si>
  <si>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</si>
  <si>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</si>
  <si>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</si>
  <si>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</si>
  <si>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</si>
  <si>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</si>
  <si>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</si>
  <si>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</si>
  <si>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</si>
  <si>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</si>
  <si>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</si>
  <si>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</si>
  <si>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</si>
  <si>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</si>
  <si>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</si>
  <si>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</si>
  <si>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</si>
  <si>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</si>
  <si>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</si>
  <si>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</si>
  <si>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</si>
  <si>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</si>
  <si>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</si>
  <si>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</si>
  <si>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</si>
  <si>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</si>
  <si>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</si>
  <si>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</si>
  <si>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</si>
  <si>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</si>
  <si>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</si>
  <si>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</si>
  <si>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</si>
  <si>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</si>
  <si>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</si>
  <si>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</si>
  <si>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</si>
  <si>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</si>
  <si>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</si>
  <si>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</si>
  <si>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</si>
  <si>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</si>
  <si>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</si>
  <si>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</si>
  <si>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</si>
  <si>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</si>
  <si>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</si>
  <si>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</si>
  <si>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</si>
  <si>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</si>
  <si>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</si>
  <si>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</si>
  <si>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</si>
  <si>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</si>
  <si>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</si>
  <si>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</si>
  <si>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</si>
  <si>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</si>
  <si>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</si>
  <si>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</si>
  <si>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</si>
  <si>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</si>
  <si>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</si>
  <si>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</si>
  <si>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</si>
  <si>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</si>
  <si>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</si>
  <si>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</si>
  <si>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</si>
  <si>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</si>
  <si>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</si>
  <si>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</si>
  <si>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</si>
  <si>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</si>
  <si>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</si>
  <si>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</si>
  <si>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</si>
  <si>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</si>
  <si>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</si>
  <si>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</si>
  <si>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</si>
  <si>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</si>
  <si>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</si>
  <si>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</si>
  <si>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</si>
  <si>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</si>
  <si>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</si>
  <si>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</si>
  <si>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</si>
  <si>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</si>
  <si>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</si>
  <si>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</si>
  <si>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</si>
  <si>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</si>
  <si>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</si>
  <si>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</si>
  <si>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</si>
  <si>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</si>
  <si>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</si>
  <si>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</si>
  <si>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</si>
  <si>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</si>
  <si>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</si>
  <si>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</si>
  <si>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</si>
  <si>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</si>
  <si>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</si>
  <si>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</si>
  <si>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</si>
  <si>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</si>
  <si>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</si>
  <si>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</si>
  <si>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</si>
  <si>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</si>
  <si>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</si>
  <si>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</si>
  <si>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</si>
  <si>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</si>
  <si>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</si>
  <si>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</si>
  <si>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</si>
  <si>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</si>
  <si>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</si>
  <si>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</si>
  <si>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</si>
  <si>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</si>
  <si>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</si>
  <si>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</si>
  <si>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</si>
  <si>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</si>
  <si>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</si>
  <si>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</si>
  <si>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</si>
  <si>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</si>
  <si>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</si>
  <si>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</si>
  <si>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</si>
  <si>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</si>
  <si>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</si>
  <si>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</si>
  <si>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</si>
  <si>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</si>
  <si>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</si>
  <si>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</si>
  <si>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</si>
  <si>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</si>
  <si>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</si>
  <si>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</si>
  <si>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</si>
  <si>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</si>
  <si>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</si>
  <si>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</si>
  <si>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</si>
  <si>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</si>
  <si>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</si>
  <si>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</si>
  <si>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</si>
  <si>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</si>
  <si>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</si>
  <si>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</si>
  <si>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</si>
  <si>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</si>
  <si>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</si>
  <si>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</si>
  <si>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</si>
  <si>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</si>
  <si>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</si>
  <si>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</si>
  <si>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</si>
  <si>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</si>
  <si>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</si>
  <si>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</si>
  <si>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</si>
  <si>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</si>
  <si>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</si>
  <si>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</si>
  <si>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</si>
  <si>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</si>
  <si>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</si>
  <si>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</si>
  <si>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</si>
  <si>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</si>
  <si>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</si>
  <si>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</si>
  <si>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</si>
  <si>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</si>
  <si>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Tenure</t>
  </si>
  <si>
    <t>Essential Excel Functions &amp; Formulas</t>
  </si>
  <si>
    <t>Total Salary and headcount by department</t>
  </si>
  <si>
    <t>SUMIFS, COUNTIFS</t>
  </si>
  <si>
    <t>All employees with more than $100k salary</t>
  </si>
  <si>
    <t>FILTER</t>
  </si>
  <si>
    <t>All female employees with more than $100k salary</t>
  </si>
  <si>
    <t>FILTER, *</t>
  </si>
  <si>
    <t>Lowest, highest and top 5 salary values</t>
  </si>
  <si>
    <t>MIN, MAX, LARGE, SORT + TAKE</t>
  </si>
  <si>
    <t>List of all departments</t>
  </si>
  <si>
    <t>Employee details lookup</t>
  </si>
  <si>
    <t>VLOOKUP, INDEX + MATCH</t>
  </si>
  <si>
    <t>UNIQUE, COUNTA, #</t>
  </si>
  <si>
    <t>Complex formula: Highest salary person</t>
  </si>
  <si>
    <t>XLOOKUP + MAX</t>
  </si>
  <si>
    <t>Complex formula: All employees joined in March</t>
  </si>
  <si>
    <t>FILTER + MONTH</t>
  </si>
  <si>
    <t>Complex formula: Department report of headcounts, salaries and % diff from overall average</t>
  </si>
  <si>
    <t>UNIQUE, SUMIFS, COUNTIFS, #, CONDITIONAL FORMATTING</t>
  </si>
  <si>
    <t>Business Question:</t>
  </si>
  <si>
    <t>Function(s) you'll learn:</t>
  </si>
  <si>
    <t>XLOOKUP, IFERROR</t>
  </si>
  <si>
    <t>Headcount</t>
  </si>
  <si>
    <t>Total Salary</t>
  </si>
  <si>
    <t>Avg. Salary</t>
  </si>
  <si>
    <t>Challenge for you…</t>
  </si>
  <si>
    <t>Permanent headcount</t>
  </si>
  <si>
    <t>All Employees with &gt;100k Salary</t>
  </si>
  <si>
    <t>Columns 1, 2, 3, 5, 6</t>
  </si>
  <si>
    <t>All such "Female" Employees</t>
  </si>
  <si>
    <t>Columns 1, 2, 3, 4, 5, 6</t>
  </si>
  <si>
    <t>who joined in 2020 or after…</t>
  </si>
  <si>
    <t>Lowest salary</t>
  </si>
  <si>
    <t>Highest salary</t>
  </si>
  <si>
    <t>Top 5 Salaries</t>
  </si>
  <si>
    <t>All emps</t>
  </si>
  <si>
    <t>with SORT + TAKE</t>
  </si>
  <si>
    <t>List all deparments and count them</t>
  </si>
  <si>
    <t>Department:</t>
  </si>
  <si>
    <t>All depts in one cell, comma seperated</t>
  </si>
  <si>
    <t>Count:</t>
  </si>
  <si>
    <t>Business Growth</t>
  </si>
  <si>
    <t>Employee Lookup</t>
  </si>
  <si>
    <t>Employee ID</t>
  </si>
  <si>
    <t>First name:</t>
  </si>
  <si>
    <t>Last name:</t>
  </si>
  <si>
    <t>Salary:</t>
  </si>
  <si>
    <t>Find all employees with 120,000 salary</t>
  </si>
  <si>
    <t>With XLOOKUP</t>
  </si>
  <si>
    <t>Entire data</t>
  </si>
  <si>
    <t>One person:</t>
  </si>
  <si>
    <t>All persons:</t>
  </si>
  <si>
    <t>Female employees with Monday start</t>
  </si>
  <si>
    <t>Highest Salary</t>
  </si>
  <si>
    <t>% diff from overall avg.</t>
  </si>
  <si>
    <t>Median Salary</t>
  </si>
  <si>
    <t>ALL Departments</t>
  </si>
  <si>
    <t>Female Ratio</t>
  </si>
  <si>
    <t>,2,3,4,5,6</t>
  </si>
  <si>
    <t>filter(staff[[empid]:[startdate]],(staff[salary]&gt;100000)*(staff[gender]="female")*staff[startdate]&gt;=date(2020,1,1)))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</si>
</sst>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  <numFmt numFmtId="166" formatCode="0.0"/>
  </numFmts>
  <fonts count="9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Aptos Mono"/>
      <family val="3"/>
    </font>
    <font>
      <sz val="11"/>
      <color theme="1"/>
      <name val="Calibri"/>
      <family val="2"/>
      <scheme val="minor"/>
    </font>
    <font>
      <b/>
      <i/>
      <sz val="8"/>
      <color theme="9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 tint="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2" fontId="0" fillId="0" borderId="0" xfId="0" applyNumberFormat="1" applyAlignment="1">
      <alignment horizontal="left" indent="1"/>
    </xf>
    <xf numFmtId="6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2" fillId="0" borderId="0" xfId="0" applyFont="1"/>
    <xf numFmtId="0" fontId="2" fillId="4" borderId="4" xfId="0" applyFont="1" applyFill="1" applyBorder="1"/>
    <xf numFmtId="164" fontId="0" fillId="0" borderId="0" xfId="1" applyNumberFormat="1" applyFont="1"/>
    <xf numFmtId="14" fontId="0" fillId="0" borderId="0" xfId="0" applyNumberFormat="1"/>
    <xf numFmtId="0" fontId="2" fillId="4" borderId="0" xfId="0" applyFont="1" applyFill="1"/>
    <xf numFmtId="0" fontId="0" fillId="4" borderId="0" xfId="0" applyFill="1"/>
    <xf numFmtId="0" fontId="0" fillId="3" borderId="5" xfId="0" applyFill="1" applyBorder="1"/>
    <xf numFmtId="0" fontId="0" fillId="0" borderId="5" xfId="0" applyBorder="1"/>
    <xf numFmtId="0" fontId="0" fillId="4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5" fillId="0" borderId="0" xfId="0" applyFont="1" applyAlignment="1">
      <alignment vertical="center"/>
    </xf>
    <xf numFmtId="8" fontId="0" fillId="0" borderId="5" xfId="0" applyNumberFormat="1" applyBorder="1" applyAlignment="1">
      <alignment horizontal="center"/>
    </xf>
    <xf numFmtId="8" fontId="0" fillId="3" borderId="5" xfId="0" applyNumberFormat="1" applyFill="1" applyBorder="1" applyAlignment="1">
      <alignment horizontal="center"/>
    </xf>
    <xf numFmtId="8" fontId="0" fillId="0" borderId="5" xfId="0" applyNumberFormat="1" applyBorder="1" applyAlignment="1">
      <alignment horizontal="left"/>
    </xf>
    <xf numFmtId="8" fontId="0" fillId="0" borderId="0" xfId="0" applyNumberFormat="1" applyAlignment="1">
      <alignment horizontal="left"/>
    </xf>
    <xf numFmtId="0" fontId="0" fillId="4" borderId="4" xfId="0" applyFill="1" applyBorder="1"/>
    <xf numFmtId="0" fontId="0" fillId="3" borderId="4" xfId="0" applyFill="1" applyBorder="1"/>
    <xf numFmtId="0" fontId="0" fillId="3" borderId="6" xfId="0" applyFill="1" applyBorder="1"/>
    <xf numFmtId="0" fontId="6" fillId="0" borderId="0" xfId="0" applyFont="1"/>
    <xf numFmtId="0" fontId="0" fillId="3" borderId="4" xfId="0" applyFill="1" applyBorder="1" applyAlignment="1">
      <alignment horizontal="left"/>
    </xf>
    <xf numFmtId="0" fontId="0" fillId="6" borderId="0" xfId="0" applyFill="1"/>
    <xf numFmtId="0" fontId="0" fillId="3" borderId="7" xfId="0" applyFill="1" applyBorder="1"/>
    <xf numFmtId="0" fontId="0" fillId="3" borderId="8" xfId="0" applyFill="1" applyBorder="1"/>
    <xf numFmtId="0" fontId="7" fillId="0" borderId="0" xfId="0" applyFont="1"/>
    <xf numFmtId="0" fontId="0" fillId="0" borderId="9" xfId="0" applyBorder="1"/>
    <xf numFmtId="0" fontId="0" fillId="0" borderId="10" xfId="0" applyBorder="1"/>
    <xf numFmtId="0" fontId="7" fillId="4" borderId="0" xfId="0" applyFont="1" applyFill="1"/>
    <xf numFmtId="0" fontId="2" fillId="7" borderId="4" xfId="0" applyFont="1" applyFill="1" applyBorder="1"/>
    <xf numFmtId="0" fontId="2" fillId="7" borderId="4" xfId="0" applyFont="1" applyFill="1" applyBorder="1" applyAlignment="1">
      <alignment wrapText="1"/>
    </xf>
    <xf numFmtId="0" fontId="2" fillId="7" borderId="0" xfId="0" applyFont="1" applyFill="1" applyAlignment="1">
      <alignment wrapText="1"/>
    </xf>
    <xf numFmtId="6" fontId="0" fillId="4" borderId="0" xfId="0" applyNumberFormat="1" applyFill="1"/>
    <xf numFmtId="6" fontId="0" fillId="0" borderId="9" xfId="0" applyNumberFormat="1" applyBorder="1"/>
    <xf numFmtId="6" fontId="0" fillId="0" borderId="10" xfId="0" applyNumberForma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0" fillId="4" borderId="5" xfId="0" applyFill="1" applyBorder="1"/>
    <xf numFmtId="165" fontId="0" fillId="0" borderId="0" xfId="0" applyNumberFormat="1"/>
    <xf numFmtId="166" fontId="0" fillId="0" borderId="0" xfId="0" applyNumberFormat="1"/>
    <xf numFmtId="8" fontId="0" fillId="3" borderId="5" xfId="0" applyNumberFormat="1" applyFill="1" applyBorder="1" applyAlignment="1">
      <alignment horizontal="right"/>
    </xf>
    <xf numFmtId="0" fontId="0" fillId="0" borderId="11" xfId="0" applyBorder="1"/>
    <xf numFmtId="0" fontId="2" fillId="7" borderId="4" xfId="0" applyFont="1" applyFill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20" formatCode="d\-mmm\-yy"/>
    </dxf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</xdr:colOff>
      <xdr:row>0</xdr:row>
      <xdr:rowOff>149958</xdr:rowOff>
    </xdr:from>
    <xdr:to>
      <xdr:col>7</xdr:col>
      <xdr:colOff>1</xdr:colOff>
      <xdr:row>1</xdr:row>
      <xdr:rowOff>135181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B4570-7414-4B1D-98E2-AE95F453A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1410" y="149958"/>
          <a:ext cx="2286000" cy="6519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27071</xdr:colOff>
      <xdr:row>4</xdr:row>
      <xdr:rowOff>1403</xdr:rowOff>
    </xdr:from>
    <xdr:to>
      <xdr:col>9</xdr:col>
      <xdr:colOff>48127</xdr:colOff>
      <xdr:row>18</xdr:row>
      <xdr:rowOff>2406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AD1B157-3D5F-51AD-0D78-0D991928F65B}"/>
            </a:ext>
          </a:extLst>
        </xdr:cNvPr>
        <xdr:cNvSpPr/>
      </xdr:nvSpPr>
      <xdr:spPr>
        <a:xfrm>
          <a:off x="5429250" y="655119"/>
          <a:ext cx="1240256" cy="2764255"/>
        </a:xfrm>
        <a:prstGeom prst="rect">
          <a:avLst/>
        </a:prstGeom>
        <a:solidFill>
          <a:schemeClr val="bg2"/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>
                  <a:lumMod val="50000"/>
                  <a:lumOff val="50000"/>
                </a:schemeClr>
              </a:solidFill>
            </a:rPr>
            <a:t>Surprise for</a:t>
          </a:r>
          <a:r>
            <a:rPr lang="en-US" sz="1100" baseline="0">
              <a:solidFill>
                <a:schemeClr val="tx1">
                  <a:lumMod val="50000"/>
                  <a:lumOff val="50000"/>
                </a:schemeClr>
              </a:solidFill>
            </a:rPr>
            <a:t> you </a:t>
          </a:r>
          <a:r>
            <a:rPr lang="en-NZ" sz="1100" baseline="0">
              <a:solidFill>
                <a:schemeClr val="tx1">
                  <a:lumMod val="50000"/>
                  <a:lumOff val="50000"/>
                </a:schemeClr>
              </a:solidFill>
            </a:rPr>
            <a:t>🤫</a:t>
          </a:r>
          <a:endParaRPr lang="en-US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847725</xdr:colOff>
      <xdr:row>0</xdr:row>
      <xdr:rowOff>149958</xdr:rowOff>
    </xdr:from>
    <xdr:to>
      <xdr:col>15</xdr:col>
      <xdr:colOff>0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149958"/>
          <a:ext cx="2486025" cy="7072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D4F-F180-46A4-9272-AD02F8205A18}" name="staff" displayName="staff" ref="C7:O267" totalsRowShown="0">
  <autoFilter ref="C7:O267" xr:uid="{71B18D4F-F180-46A4-9272-AD02F8205A18}"/>
  <sortState xmlns:xlrd2="http://schemas.microsoft.com/office/spreadsheetml/2017/richdata2" ref="C8:O267">
    <sortCondition ref="D7:D267"/>
  </sortState>
  <tableColumns count="13">
    <tableColumn id="1" xr3:uid="{943DE765-0286-4102-BD68-49CEED7DAF5A}" name="Emp ID"/>
    <tableColumn id="2" xr3:uid="{45228A4A-AEEB-4CEE-80B5-33BA9570C47D}" name="First Name"/>
    <tableColumn id="3" xr3:uid="{C8DF7457-34ED-4E58-88C1-A86E4021A838}" name="Last Name"/>
    <tableColumn id="4" xr3:uid="{E2207B0B-6A69-4386-AECE-731C83A22B09}" name="Gender"/>
    <tableColumn id="5" xr3:uid="{A0FE40DF-D3CE-4E2D-BC14-2FA7A4471C4B}" name="Department"/>
    <tableColumn id="6" xr3:uid="{2AB637B2-7FA6-45AF-AD0F-DD978905CCF9}" name="Salary" dataDxfId="2"/>
    <tableColumn id="7" xr3:uid="{6FB76E53-662C-42FB-B574-9493672B96B4}" name="Salary Bucket"/>
    <tableColumn id="8" xr3:uid="{B5C7CFDA-8B73-433B-9824-947691E010EE}" name="Start Date" dataDxfId="1"/>
    <tableColumn id="9" xr3:uid="{57A3C720-3FC8-49DF-9198-763D95607FD3}" name="FTE"/>
    <tableColumn id="10" xr3:uid="{70CA1560-AEEB-418C-9C34-CD21922D5890}" name="Employee type"/>
    <tableColumn id="11" xr3:uid="{17EB6C09-06EE-4144-83FA-C5CC50C2144F}" name="Work location"/>
    <tableColumn id="12" xr3:uid="{73CAC88D-B4A5-4E5A-B969-2AD1AAC9A5DA}" name="Tenure" dataDxfId="0"/>
    <tableColumn id="13" xr3:uid="{5EDE0C02-206D-4DFD-AA25-E3CA5E6038E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6E8-967B-437C-B97A-A3AA7E6942D3}">
  <dimension ref="A1:N265"/>
  <sheetViews>
    <sheetView showGridLines="0" topLeftCell="B7" zoomScale="145" zoomScaleNormal="145" workbookViewId="0">
      <selection activeCell="D9" sqref="D9"/>
    </sheetView>
  </sheetViews>
  <sheetFormatPr defaultRowHeight="14.4" x14ac:dyDescent="0.3"/>
  <cols>
    <col min="1" max="1" width="1.6640625" customWidth="1"/>
    <col min="2" max="2" width="3.6640625" customWidth="1"/>
    <col min="3" max="3" width="4.5546875" customWidth="1"/>
    <col min="4" max="4" width="48.109375" customWidth="1"/>
    <col min="5" max="5" width="6" customWidth="1"/>
    <col min="6" max="6" width="37.44140625" customWidth="1"/>
    <col min="7" max="7" width="34.33203125" customWidth="1"/>
    <col min="8" max="8" width="11.88671875" bestFit="1" customWidth="1"/>
    <col min="9" max="9" width="14.88671875" customWidth="1"/>
    <col min="10" max="10" width="11.88671875" customWidth="1"/>
    <col min="12" max="12" width="16.44140625" customWidth="1"/>
    <col min="13" max="13" width="15.5546875" customWidth="1"/>
    <col min="14" max="14" width="13.44140625" bestFit="1" customWidth="1"/>
    <col min="15" max="15" width="12.6640625" customWidth="1"/>
  </cols>
  <sheetData>
    <row r="1" spans="1:14" s="2" customFormat="1" ht="52.5" customHeight="1" x14ac:dyDescent="0.3">
      <c r="A1" s="1"/>
      <c r="C1" s="3" t="s">
        <v>739</v>
      </c>
    </row>
    <row r="5" spans="1:14" ht="21" customHeight="1" x14ac:dyDescent="0.3">
      <c r="C5" s="16"/>
      <c r="D5" s="17" t="s">
        <v>758</v>
      </c>
      <c r="E5" s="16"/>
      <c r="F5" s="17" t="s">
        <v>759</v>
      </c>
      <c r="G5" s="17" t="s">
        <v>764</v>
      </c>
    </row>
    <row r="6" spans="1:14" ht="21" customHeight="1" x14ac:dyDescent="0.3">
      <c r="C6" s="10">
        <v>1</v>
      </c>
      <c r="D6" s="11" t="s">
        <v>740</v>
      </c>
      <c r="E6" s="11"/>
      <c r="F6" s="14" t="s">
        <v>741</v>
      </c>
      <c r="G6" s="60" t="s">
        <v>765</v>
      </c>
      <c r="H6" s="5"/>
      <c r="J6" s="6"/>
      <c r="N6" s="4"/>
    </row>
    <row r="7" spans="1:14" ht="21" customHeight="1" x14ac:dyDescent="0.3">
      <c r="C7" s="12">
        <v>2</v>
      </c>
      <c r="D7" s="13" t="s">
        <v>742</v>
      </c>
      <c r="E7" s="13"/>
      <c r="F7" s="15" t="s">
        <v>743</v>
      </c>
      <c r="G7" s="61"/>
      <c r="H7" s="5"/>
      <c r="J7" s="6"/>
      <c r="N7" s="4"/>
    </row>
    <row r="8" spans="1:14" ht="21" customHeight="1" x14ac:dyDescent="0.3">
      <c r="C8" s="12">
        <v>3</v>
      </c>
      <c r="D8" s="13" t="s">
        <v>744</v>
      </c>
      <c r="E8" s="13"/>
      <c r="F8" s="15" t="s">
        <v>745</v>
      </c>
      <c r="G8" s="61" t="s">
        <v>770</v>
      </c>
      <c r="H8" s="5"/>
      <c r="J8" s="6"/>
      <c r="N8" s="4"/>
    </row>
    <row r="9" spans="1:14" ht="21" customHeight="1" x14ac:dyDescent="0.3">
      <c r="C9" s="12">
        <v>4</v>
      </c>
      <c r="D9" s="13" t="s">
        <v>746</v>
      </c>
      <c r="E9" s="13"/>
      <c r="F9" s="15" t="s">
        <v>747</v>
      </c>
      <c r="G9" s="61"/>
      <c r="H9" s="5"/>
      <c r="J9" s="6"/>
      <c r="N9" s="4"/>
    </row>
    <row r="10" spans="1:14" ht="21" customHeight="1" x14ac:dyDescent="0.3">
      <c r="C10" s="12">
        <v>5</v>
      </c>
      <c r="D10" s="13" t="s">
        <v>748</v>
      </c>
      <c r="E10" s="13"/>
      <c r="F10" s="15" t="s">
        <v>751</v>
      </c>
      <c r="G10" s="61" t="s">
        <v>778</v>
      </c>
      <c r="H10" s="5"/>
      <c r="J10" s="6"/>
      <c r="N10" s="4"/>
    </row>
    <row r="11" spans="1:14" ht="21" customHeight="1" x14ac:dyDescent="0.3">
      <c r="C11" s="12">
        <v>6</v>
      </c>
      <c r="D11" s="13" t="s">
        <v>749</v>
      </c>
      <c r="E11" s="13"/>
      <c r="F11" s="15" t="s">
        <v>750</v>
      </c>
      <c r="G11" s="61"/>
      <c r="H11" s="5"/>
      <c r="J11" s="6"/>
      <c r="N11" s="4"/>
    </row>
    <row r="12" spans="1:14" ht="21" customHeight="1" x14ac:dyDescent="0.3">
      <c r="C12" s="12">
        <v>7</v>
      </c>
      <c r="D12" s="13" t="s">
        <v>749</v>
      </c>
      <c r="E12" s="13"/>
      <c r="F12" s="15" t="s">
        <v>760</v>
      </c>
      <c r="G12" s="61" t="s">
        <v>786</v>
      </c>
      <c r="H12" s="5"/>
      <c r="J12" s="6"/>
      <c r="N12" s="4"/>
    </row>
    <row r="13" spans="1:14" ht="21" customHeight="1" x14ac:dyDescent="0.3">
      <c r="C13" s="18">
        <v>8</v>
      </c>
      <c r="D13" s="19" t="s">
        <v>752</v>
      </c>
      <c r="E13" s="19"/>
      <c r="F13" s="20" t="s">
        <v>753</v>
      </c>
      <c r="G13" s="62"/>
      <c r="H13" s="5"/>
      <c r="J13" s="6"/>
      <c r="N13" s="4"/>
    </row>
    <row r="14" spans="1:14" ht="21" customHeight="1" x14ac:dyDescent="0.3">
      <c r="C14" s="18">
        <v>9</v>
      </c>
      <c r="D14" s="19" t="s">
        <v>754</v>
      </c>
      <c r="E14" s="19"/>
      <c r="F14" s="20" t="s">
        <v>755</v>
      </c>
      <c r="G14" s="62" t="s">
        <v>791</v>
      </c>
      <c r="H14" s="5"/>
      <c r="J14" s="6"/>
      <c r="N14" s="4"/>
    </row>
    <row r="15" spans="1:14" ht="28.8" x14ac:dyDescent="0.3">
      <c r="C15" s="21">
        <v>10</v>
      </c>
      <c r="D15" s="22" t="s">
        <v>756</v>
      </c>
      <c r="E15" s="23"/>
      <c r="F15" s="24" t="s">
        <v>757</v>
      </c>
      <c r="G15" s="22"/>
      <c r="H15" s="5"/>
      <c r="J15" s="6"/>
      <c r="N15" s="4"/>
    </row>
    <row r="16" spans="1:14" x14ac:dyDescent="0.3">
      <c r="H16" s="5"/>
      <c r="J16" s="6"/>
      <c r="N16" s="4"/>
    </row>
    <row r="17" spans="8:14" x14ac:dyDescent="0.3">
      <c r="H17" s="5"/>
      <c r="J17" s="6"/>
      <c r="N17" s="4"/>
    </row>
    <row r="18" spans="8:14" x14ac:dyDescent="0.3">
      <c r="H18" s="5"/>
      <c r="J18" s="6"/>
      <c r="N18" s="4"/>
    </row>
    <row r="19" spans="8:14" x14ac:dyDescent="0.3">
      <c r="H19" s="5"/>
      <c r="J19" s="6"/>
      <c r="N19" s="4"/>
    </row>
    <row r="20" spans="8:14" x14ac:dyDescent="0.3">
      <c r="H20" s="5"/>
      <c r="J20" s="6"/>
      <c r="N20" s="4"/>
    </row>
    <row r="21" spans="8:14" x14ac:dyDescent="0.3">
      <c r="H21" s="5"/>
      <c r="J21" s="6"/>
      <c r="N21" s="4"/>
    </row>
    <row r="22" spans="8:14" x14ac:dyDescent="0.3">
      <c r="H22" s="5"/>
      <c r="J22" s="6"/>
      <c r="N22" s="4"/>
    </row>
    <row r="23" spans="8:14" x14ac:dyDescent="0.3">
      <c r="H23" s="5"/>
      <c r="J23" s="6"/>
      <c r="N23" s="4"/>
    </row>
    <row r="24" spans="8:14" x14ac:dyDescent="0.3">
      <c r="H24" s="5"/>
      <c r="J24" s="6"/>
      <c r="N24" s="4"/>
    </row>
    <row r="25" spans="8:14" x14ac:dyDescent="0.3">
      <c r="H25" s="5"/>
      <c r="J25" s="6"/>
      <c r="N25" s="4"/>
    </row>
    <row r="26" spans="8:14" x14ac:dyDescent="0.3">
      <c r="H26" s="5"/>
      <c r="J26" s="6"/>
      <c r="N26" s="4"/>
    </row>
    <row r="27" spans="8:14" x14ac:dyDescent="0.3">
      <c r="H27" s="5"/>
      <c r="J27" s="6"/>
      <c r="N27" s="4"/>
    </row>
    <row r="28" spans="8:14" x14ac:dyDescent="0.3">
      <c r="H28" s="5"/>
      <c r="J28" s="6"/>
      <c r="N28" s="4"/>
    </row>
    <row r="29" spans="8:14" x14ac:dyDescent="0.3">
      <c r="H29" s="5"/>
      <c r="J29" s="6"/>
      <c r="N29" s="4"/>
    </row>
    <row r="30" spans="8:14" x14ac:dyDescent="0.3">
      <c r="H30" s="5"/>
      <c r="J30" s="6"/>
      <c r="N30" s="4"/>
    </row>
    <row r="31" spans="8:14" x14ac:dyDescent="0.3">
      <c r="H31" s="5"/>
      <c r="J31" s="6"/>
      <c r="N31" s="4"/>
    </row>
    <row r="32" spans="8:14" x14ac:dyDescent="0.3">
      <c r="H32" s="5"/>
      <c r="J32" s="6"/>
      <c r="N32" s="4"/>
    </row>
    <row r="33" spans="8:14" x14ac:dyDescent="0.3">
      <c r="H33" s="5"/>
      <c r="J33" s="6"/>
      <c r="N33" s="4"/>
    </row>
    <row r="34" spans="8:14" x14ac:dyDescent="0.3">
      <c r="H34" s="5"/>
      <c r="J34" s="6"/>
      <c r="N34" s="4"/>
    </row>
    <row r="35" spans="8:14" x14ac:dyDescent="0.3">
      <c r="H35" s="5"/>
      <c r="J35" s="6"/>
      <c r="N35" s="4"/>
    </row>
    <row r="36" spans="8:14" x14ac:dyDescent="0.3">
      <c r="H36" s="5"/>
      <c r="J36" s="6"/>
      <c r="N36" s="4"/>
    </row>
    <row r="37" spans="8:14" x14ac:dyDescent="0.3">
      <c r="H37" s="5"/>
      <c r="J37" s="6"/>
      <c r="N37" s="4"/>
    </row>
    <row r="38" spans="8:14" x14ac:dyDescent="0.3">
      <c r="H38" s="5"/>
      <c r="J38" s="6"/>
      <c r="N38" s="4"/>
    </row>
    <row r="39" spans="8:14" x14ac:dyDescent="0.3">
      <c r="H39" s="5"/>
      <c r="J39" s="6"/>
      <c r="N39" s="4"/>
    </row>
    <row r="40" spans="8:14" x14ac:dyDescent="0.3">
      <c r="H40" s="5"/>
      <c r="J40" s="6"/>
      <c r="N40" s="4"/>
    </row>
    <row r="41" spans="8:14" x14ac:dyDescent="0.3">
      <c r="H41" s="5"/>
      <c r="J41" s="6"/>
      <c r="N41" s="4"/>
    </row>
    <row r="42" spans="8:14" x14ac:dyDescent="0.3">
      <c r="H42" s="5"/>
      <c r="J42" s="6"/>
      <c r="N42" s="4"/>
    </row>
    <row r="43" spans="8:14" x14ac:dyDescent="0.3">
      <c r="H43" s="5"/>
      <c r="J43" s="6"/>
      <c r="N43" s="4"/>
    </row>
    <row r="44" spans="8:14" x14ac:dyDescent="0.3">
      <c r="H44" s="5"/>
      <c r="J44" s="6"/>
      <c r="N44" s="4"/>
    </row>
    <row r="45" spans="8:14" x14ac:dyDescent="0.3">
      <c r="H45" s="5"/>
      <c r="J45" s="6"/>
      <c r="N45" s="4"/>
    </row>
    <row r="46" spans="8:14" x14ac:dyDescent="0.3">
      <c r="H46" s="5"/>
      <c r="J46" s="6"/>
      <c r="N46" s="4"/>
    </row>
    <row r="47" spans="8:14" x14ac:dyDescent="0.3">
      <c r="H47" s="5"/>
      <c r="J47" s="6"/>
      <c r="N47" s="4"/>
    </row>
    <row r="48" spans="8:14" x14ac:dyDescent="0.3">
      <c r="H48" s="5"/>
      <c r="J48" s="6"/>
      <c r="N48" s="4"/>
    </row>
    <row r="49" spans="8:14" x14ac:dyDescent="0.3">
      <c r="H49" s="5"/>
      <c r="J49" s="6"/>
      <c r="N49" s="4"/>
    </row>
    <row r="50" spans="8:14" x14ac:dyDescent="0.3">
      <c r="H50" s="5"/>
      <c r="J50" s="6"/>
      <c r="N50" s="4"/>
    </row>
    <row r="51" spans="8:14" x14ac:dyDescent="0.3">
      <c r="H51" s="5"/>
      <c r="J51" s="6"/>
      <c r="N51" s="4"/>
    </row>
    <row r="52" spans="8:14" x14ac:dyDescent="0.3">
      <c r="H52" s="5"/>
      <c r="J52" s="6"/>
      <c r="N52" s="4"/>
    </row>
    <row r="53" spans="8:14" x14ac:dyDescent="0.3">
      <c r="H53" s="5"/>
      <c r="J53" s="6"/>
      <c r="N53" s="4"/>
    </row>
    <row r="54" spans="8:14" x14ac:dyDescent="0.3">
      <c r="H54" s="5"/>
      <c r="J54" s="6"/>
      <c r="N54" s="4"/>
    </row>
    <row r="55" spans="8:14" x14ac:dyDescent="0.3">
      <c r="H55" s="5"/>
      <c r="J55" s="6"/>
      <c r="N55" s="4"/>
    </row>
    <row r="56" spans="8:14" x14ac:dyDescent="0.3">
      <c r="H56" s="5"/>
      <c r="J56" s="6"/>
      <c r="N56" s="4"/>
    </row>
    <row r="57" spans="8:14" x14ac:dyDescent="0.3">
      <c r="H57" s="5"/>
      <c r="J57" s="6"/>
      <c r="N57" s="4"/>
    </row>
    <row r="58" spans="8:14" x14ac:dyDescent="0.3">
      <c r="H58" s="5"/>
      <c r="J58" s="6"/>
      <c r="N58" s="4"/>
    </row>
    <row r="59" spans="8:14" x14ac:dyDescent="0.3">
      <c r="H59" s="5"/>
      <c r="J59" s="6"/>
      <c r="N59" s="4"/>
    </row>
    <row r="60" spans="8:14" x14ac:dyDescent="0.3">
      <c r="H60" s="5"/>
      <c r="J60" s="6"/>
      <c r="N60" s="4"/>
    </row>
    <row r="61" spans="8:14" x14ac:dyDescent="0.3">
      <c r="H61" s="5"/>
      <c r="J61" s="6"/>
      <c r="N61" s="4"/>
    </row>
    <row r="62" spans="8:14" x14ac:dyDescent="0.3">
      <c r="H62" s="5"/>
      <c r="J62" s="6"/>
      <c r="N62" s="4"/>
    </row>
    <row r="63" spans="8:14" x14ac:dyDescent="0.3">
      <c r="H63" s="5"/>
      <c r="J63" s="6"/>
      <c r="N63" s="4"/>
    </row>
    <row r="64" spans="8:14" x14ac:dyDescent="0.3">
      <c r="H64" s="5"/>
      <c r="J64" s="6"/>
      <c r="N64" s="4"/>
    </row>
    <row r="65" spans="8:14" x14ac:dyDescent="0.3">
      <c r="H65" s="5"/>
      <c r="J65" s="6"/>
      <c r="N65" s="4"/>
    </row>
    <row r="66" spans="8:14" x14ac:dyDescent="0.3">
      <c r="H66" s="5"/>
      <c r="J66" s="6"/>
      <c r="N66" s="4"/>
    </row>
    <row r="67" spans="8:14" x14ac:dyDescent="0.3">
      <c r="H67" s="5"/>
      <c r="J67" s="6"/>
      <c r="N67" s="4"/>
    </row>
    <row r="68" spans="8:14" x14ac:dyDescent="0.3">
      <c r="H68" s="5"/>
      <c r="J68" s="6"/>
      <c r="N68" s="4"/>
    </row>
    <row r="69" spans="8:14" x14ac:dyDescent="0.3">
      <c r="H69" s="5"/>
      <c r="J69" s="6"/>
      <c r="N69" s="4"/>
    </row>
    <row r="70" spans="8:14" x14ac:dyDescent="0.3">
      <c r="H70" s="5"/>
      <c r="J70" s="6"/>
      <c r="N70" s="4"/>
    </row>
    <row r="71" spans="8:14" x14ac:dyDescent="0.3">
      <c r="H71" s="5"/>
      <c r="J71" s="6"/>
      <c r="N71" s="4"/>
    </row>
    <row r="72" spans="8:14" x14ac:dyDescent="0.3">
      <c r="H72" s="5"/>
      <c r="J72" s="6"/>
      <c r="N72" s="4"/>
    </row>
    <row r="73" spans="8:14" x14ac:dyDescent="0.3">
      <c r="H73" s="5"/>
      <c r="J73" s="6"/>
      <c r="N73" s="4"/>
    </row>
    <row r="74" spans="8:14" x14ac:dyDescent="0.3">
      <c r="H74" s="5"/>
      <c r="J74" s="6"/>
      <c r="N74" s="4"/>
    </row>
    <row r="75" spans="8:14" x14ac:dyDescent="0.3">
      <c r="H75" s="5"/>
      <c r="J75" s="6"/>
      <c r="N75" s="4"/>
    </row>
    <row r="76" spans="8:14" x14ac:dyDescent="0.3">
      <c r="H76" s="5"/>
      <c r="J76" s="6"/>
      <c r="N76" s="4"/>
    </row>
    <row r="77" spans="8:14" x14ac:dyDescent="0.3">
      <c r="H77" s="5"/>
      <c r="J77" s="6"/>
      <c r="N77" s="4"/>
    </row>
    <row r="78" spans="8:14" x14ac:dyDescent="0.3">
      <c r="H78" s="5"/>
      <c r="J78" s="6"/>
      <c r="N78" s="4"/>
    </row>
    <row r="79" spans="8:14" x14ac:dyDescent="0.3">
      <c r="H79" s="5"/>
      <c r="J79" s="6"/>
      <c r="N79" s="4"/>
    </row>
    <row r="80" spans="8:14" x14ac:dyDescent="0.3">
      <c r="H80" s="5"/>
      <c r="J80" s="6"/>
      <c r="N80" s="4"/>
    </row>
    <row r="81" spans="8:14" x14ac:dyDescent="0.3">
      <c r="H81" s="5"/>
      <c r="J81" s="6"/>
      <c r="N81" s="4"/>
    </row>
    <row r="82" spans="8:14" x14ac:dyDescent="0.3">
      <c r="H82" s="5"/>
      <c r="J82" s="6"/>
      <c r="N82" s="4"/>
    </row>
    <row r="83" spans="8:14" x14ac:dyDescent="0.3">
      <c r="H83" s="5"/>
      <c r="J83" s="6"/>
      <c r="N83" s="4"/>
    </row>
    <row r="84" spans="8:14" x14ac:dyDescent="0.3">
      <c r="H84" s="5"/>
      <c r="J84" s="6"/>
      <c r="N84" s="4"/>
    </row>
    <row r="85" spans="8:14" x14ac:dyDescent="0.3">
      <c r="H85" s="5"/>
      <c r="J85" s="6"/>
      <c r="N85" s="4"/>
    </row>
    <row r="86" spans="8:14" x14ac:dyDescent="0.3">
      <c r="H86" s="5"/>
      <c r="J86" s="6"/>
      <c r="N86" s="4"/>
    </row>
    <row r="87" spans="8:14" x14ac:dyDescent="0.3">
      <c r="H87" s="5"/>
      <c r="J87" s="6"/>
      <c r="N87" s="4"/>
    </row>
    <row r="88" spans="8:14" x14ac:dyDescent="0.3">
      <c r="H88" s="5"/>
      <c r="J88" s="6"/>
      <c r="N88" s="4"/>
    </row>
    <row r="89" spans="8:14" x14ac:dyDescent="0.3">
      <c r="H89" s="5"/>
      <c r="J89" s="6"/>
      <c r="N89" s="4"/>
    </row>
    <row r="90" spans="8:14" x14ac:dyDescent="0.3">
      <c r="H90" s="5"/>
      <c r="J90" s="6"/>
      <c r="N90" s="4"/>
    </row>
    <row r="91" spans="8:14" x14ac:dyDescent="0.3">
      <c r="H91" s="5"/>
      <c r="J91" s="6"/>
      <c r="N91" s="4"/>
    </row>
    <row r="92" spans="8:14" x14ac:dyDescent="0.3">
      <c r="H92" s="5"/>
      <c r="J92" s="6"/>
      <c r="N92" s="4"/>
    </row>
    <row r="93" spans="8:14" x14ac:dyDescent="0.3">
      <c r="H93" s="5"/>
      <c r="J93" s="6"/>
      <c r="N93" s="4"/>
    </row>
    <row r="94" spans="8:14" x14ac:dyDescent="0.3">
      <c r="H94" s="5"/>
      <c r="J94" s="6"/>
      <c r="N94" s="4"/>
    </row>
    <row r="95" spans="8:14" x14ac:dyDescent="0.3">
      <c r="H95" s="5"/>
      <c r="J95" s="6"/>
      <c r="N95" s="4"/>
    </row>
    <row r="96" spans="8:14" x14ac:dyDescent="0.3">
      <c r="H96" s="5"/>
      <c r="J96" s="6"/>
      <c r="N96" s="4"/>
    </row>
    <row r="97" spans="8:14" x14ac:dyDescent="0.3">
      <c r="H97" s="5"/>
      <c r="J97" s="6"/>
      <c r="N97" s="4"/>
    </row>
    <row r="98" spans="8:14" x14ac:dyDescent="0.3">
      <c r="H98" s="5"/>
      <c r="J98" s="6"/>
      <c r="N98" s="4"/>
    </row>
    <row r="99" spans="8:14" x14ac:dyDescent="0.3">
      <c r="H99" s="5"/>
      <c r="J99" s="6"/>
      <c r="N99" s="4"/>
    </row>
    <row r="100" spans="8:14" x14ac:dyDescent="0.3">
      <c r="H100" s="5"/>
      <c r="J100" s="6"/>
      <c r="N100" s="4"/>
    </row>
    <row r="101" spans="8:14" x14ac:dyDescent="0.3">
      <c r="H101" s="5"/>
      <c r="J101" s="6"/>
      <c r="N101" s="4"/>
    </row>
    <row r="102" spans="8:14" x14ac:dyDescent="0.3">
      <c r="H102" s="5"/>
      <c r="J102" s="6"/>
      <c r="N102" s="4"/>
    </row>
    <row r="103" spans="8:14" x14ac:dyDescent="0.3">
      <c r="H103" s="5"/>
      <c r="J103" s="6"/>
      <c r="N103" s="4"/>
    </row>
    <row r="104" spans="8:14" x14ac:dyDescent="0.3">
      <c r="H104" s="5"/>
      <c r="J104" s="6"/>
      <c r="N104" s="4"/>
    </row>
    <row r="105" spans="8:14" x14ac:dyDescent="0.3">
      <c r="H105" s="5"/>
      <c r="J105" s="6"/>
      <c r="N105" s="4"/>
    </row>
    <row r="106" spans="8:14" x14ac:dyDescent="0.3">
      <c r="H106" s="5"/>
      <c r="J106" s="6"/>
      <c r="N106" s="4"/>
    </row>
    <row r="107" spans="8:14" x14ac:dyDescent="0.3">
      <c r="H107" s="5"/>
      <c r="J107" s="6"/>
      <c r="N107" s="4"/>
    </row>
    <row r="108" spans="8:14" x14ac:dyDescent="0.3">
      <c r="H108" s="5"/>
      <c r="J108" s="6"/>
      <c r="N108" s="4"/>
    </row>
    <row r="109" spans="8:14" x14ac:dyDescent="0.3">
      <c r="H109" s="5"/>
      <c r="J109" s="6"/>
      <c r="N109" s="4"/>
    </row>
    <row r="110" spans="8:14" x14ac:dyDescent="0.3">
      <c r="H110" s="5"/>
      <c r="J110" s="6"/>
      <c r="N110" s="4"/>
    </row>
    <row r="111" spans="8:14" x14ac:dyDescent="0.3">
      <c r="H111" s="5"/>
      <c r="J111" s="6"/>
      <c r="N111" s="4"/>
    </row>
    <row r="112" spans="8:14" x14ac:dyDescent="0.3">
      <c r="H112" s="5"/>
      <c r="J112" s="6"/>
      <c r="N112" s="4"/>
    </row>
    <row r="113" spans="8:14" x14ac:dyDescent="0.3">
      <c r="H113" s="5"/>
      <c r="J113" s="6"/>
      <c r="N113" s="4"/>
    </row>
    <row r="114" spans="8:14" x14ac:dyDescent="0.3">
      <c r="H114" s="5"/>
      <c r="J114" s="6"/>
      <c r="N114" s="4"/>
    </row>
    <row r="115" spans="8:14" x14ac:dyDescent="0.3">
      <c r="H115" s="5"/>
      <c r="J115" s="6"/>
      <c r="N115" s="4"/>
    </row>
    <row r="116" spans="8:14" x14ac:dyDescent="0.3">
      <c r="H116" s="5"/>
      <c r="J116" s="6"/>
      <c r="N116" s="4"/>
    </row>
    <row r="117" spans="8:14" x14ac:dyDescent="0.3">
      <c r="H117" s="5"/>
      <c r="J117" s="6"/>
      <c r="N117" s="4"/>
    </row>
    <row r="118" spans="8:14" x14ac:dyDescent="0.3">
      <c r="H118" s="5"/>
      <c r="J118" s="6"/>
      <c r="N118" s="4"/>
    </row>
    <row r="119" spans="8:14" x14ac:dyDescent="0.3">
      <c r="H119" s="5"/>
      <c r="J119" s="6"/>
      <c r="N119" s="4"/>
    </row>
    <row r="120" spans="8:14" x14ac:dyDescent="0.3">
      <c r="H120" s="5"/>
      <c r="J120" s="6"/>
      <c r="N120" s="4"/>
    </row>
    <row r="121" spans="8:14" x14ac:dyDescent="0.3">
      <c r="H121" s="5"/>
      <c r="J121" s="6"/>
      <c r="N121" s="4"/>
    </row>
    <row r="122" spans="8:14" x14ac:dyDescent="0.3">
      <c r="H122" s="5"/>
      <c r="J122" s="6"/>
      <c r="N122" s="4"/>
    </row>
    <row r="123" spans="8:14" x14ac:dyDescent="0.3">
      <c r="H123" s="5"/>
      <c r="J123" s="6"/>
      <c r="N123" s="4"/>
    </row>
    <row r="124" spans="8:14" x14ac:dyDescent="0.3">
      <c r="H124" s="5"/>
      <c r="J124" s="6"/>
      <c r="N124" s="4"/>
    </row>
    <row r="125" spans="8:14" x14ac:dyDescent="0.3">
      <c r="H125" s="5"/>
      <c r="J125" s="6"/>
      <c r="N125" s="4"/>
    </row>
    <row r="126" spans="8:14" x14ac:dyDescent="0.3">
      <c r="H126" s="5"/>
      <c r="J126" s="6"/>
      <c r="N126" s="4"/>
    </row>
    <row r="127" spans="8:14" x14ac:dyDescent="0.3">
      <c r="H127" s="5"/>
      <c r="J127" s="6"/>
      <c r="N127" s="4"/>
    </row>
    <row r="128" spans="8:14" x14ac:dyDescent="0.3">
      <c r="H128" s="5"/>
      <c r="J128" s="6"/>
      <c r="N128" s="4"/>
    </row>
    <row r="129" spans="8:14" x14ac:dyDescent="0.3">
      <c r="H129" s="5"/>
      <c r="J129" s="6"/>
      <c r="N129" s="4"/>
    </row>
    <row r="130" spans="8:14" x14ac:dyDescent="0.3">
      <c r="H130" s="5"/>
      <c r="J130" s="6"/>
      <c r="N130" s="4"/>
    </row>
    <row r="131" spans="8:14" x14ac:dyDescent="0.3">
      <c r="H131" s="5"/>
      <c r="J131" s="6"/>
      <c r="N131" s="4"/>
    </row>
    <row r="132" spans="8:14" x14ac:dyDescent="0.3">
      <c r="H132" s="5"/>
      <c r="J132" s="6"/>
      <c r="N132" s="4"/>
    </row>
    <row r="133" spans="8:14" x14ac:dyDescent="0.3">
      <c r="H133" s="5"/>
      <c r="J133" s="6"/>
      <c r="N133" s="4"/>
    </row>
    <row r="134" spans="8:14" x14ac:dyDescent="0.3">
      <c r="H134" s="5"/>
      <c r="J134" s="6"/>
      <c r="N134" s="4"/>
    </row>
    <row r="135" spans="8:14" x14ac:dyDescent="0.3">
      <c r="H135" s="5"/>
      <c r="J135" s="6"/>
      <c r="N135" s="4"/>
    </row>
    <row r="136" spans="8:14" x14ac:dyDescent="0.3">
      <c r="H136" s="5"/>
      <c r="J136" s="6"/>
      <c r="N136" s="4"/>
    </row>
    <row r="137" spans="8:14" x14ac:dyDescent="0.3">
      <c r="H137" s="5"/>
      <c r="J137" s="6"/>
      <c r="N137" s="4"/>
    </row>
    <row r="138" spans="8:14" x14ac:dyDescent="0.3">
      <c r="H138" s="5"/>
      <c r="J138" s="6"/>
      <c r="N138" s="4"/>
    </row>
    <row r="139" spans="8:14" x14ac:dyDescent="0.3">
      <c r="H139" s="5"/>
      <c r="J139" s="6"/>
      <c r="N139" s="4"/>
    </row>
    <row r="140" spans="8:14" x14ac:dyDescent="0.3">
      <c r="H140" s="5"/>
      <c r="J140" s="6"/>
      <c r="N140" s="4"/>
    </row>
    <row r="141" spans="8:14" x14ac:dyDescent="0.3">
      <c r="H141" s="5"/>
      <c r="J141" s="6"/>
      <c r="N141" s="4"/>
    </row>
    <row r="142" spans="8:14" x14ac:dyDescent="0.3">
      <c r="H142" s="5"/>
      <c r="J142" s="6"/>
      <c r="N142" s="4"/>
    </row>
    <row r="143" spans="8:14" x14ac:dyDescent="0.3">
      <c r="H143" s="5"/>
      <c r="J143" s="6"/>
      <c r="N143" s="4"/>
    </row>
    <row r="144" spans="8:14" x14ac:dyDescent="0.3">
      <c r="H144" s="5"/>
      <c r="J144" s="6"/>
      <c r="N144" s="4"/>
    </row>
    <row r="145" spans="8:14" x14ac:dyDescent="0.3">
      <c r="H145" s="5"/>
      <c r="J145" s="6"/>
      <c r="N145" s="4"/>
    </row>
    <row r="146" spans="8:14" x14ac:dyDescent="0.3">
      <c r="H146" s="5"/>
      <c r="J146" s="6"/>
      <c r="N146" s="4"/>
    </row>
    <row r="147" spans="8:14" x14ac:dyDescent="0.3">
      <c r="H147" s="5"/>
      <c r="J147" s="6"/>
      <c r="N147" s="4"/>
    </row>
    <row r="148" spans="8:14" x14ac:dyDescent="0.3">
      <c r="H148" s="5"/>
      <c r="J148" s="6"/>
      <c r="N148" s="4"/>
    </row>
    <row r="149" spans="8:14" x14ac:dyDescent="0.3">
      <c r="H149" s="5"/>
      <c r="J149" s="6"/>
      <c r="N149" s="4"/>
    </row>
    <row r="150" spans="8:14" x14ac:dyDescent="0.3">
      <c r="H150" s="5"/>
      <c r="J150" s="6"/>
      <c r="N150" s="4"/>
    </row>
    <row r="151" spans="8:14" x14ac:dyDescent="0.3">
      <c r="H151" s="5"/>
      <c r="J151" s="6"/>
      <c r="N151" s="4"/>
    </row>
    <row r="152" spans="8:14" x14ac:dyDescent="0.3">
      <c r="H152" s="5"/>
      <c r="J152" s="6"/>
      <c r="N152" s="4"/>
    </row>
    <row r="153" spans="8:14" x14ac:dyDescent="0.3">
      <c r="H153" s="5"/>
      <c r="J153" s="6"/>
      <c r="N153" s="4"/>
    </row>
    <row r="154" spans="8:14" x14ac:dyDescent="0.3">
      <c r="H154" s="5"/>
      <c r="J154" s="6"/>
      <c r="N154" s="4"/>
    </row>
    <row r="155" spans="8:14" x14ac:dyDescent="0.3">
      <c r="H155" s="5"/>
      <c r="J155" s="6"/>
      <c r="N155" s="4"/>
    </row>
    <row r="156" spans="8:14" x14ac:dyDescent="0.3">
      <c r="H156" s="5"/>
      <c r="J156" s="6"/>
      <c r="N156" s="4"/>
    </row>
    <row r="157" spans="8:14" x14ac:dyDescent="0.3">
      <c r="H157" s="5"/>
      <c r="J157" s="6"/>
      <c r="N157" s="4"/>
    </row>
    <row r="158" spans="8:14" x14ac:dyDescent="0.3">
      <c r="H158" s="5"/>
      <c r="J158" s="6"/>
      <c r="N158" s="4"/>
    </row>
    <row r="159" spans="8:14" x14ac:dyDescent="0.3">
      <c r="H159" s="5"/>
      <c r="J159" s="6"/>
      <c r="N159" s="4"/>
    </row>
    <row r="160" spans="8:14" x14ac:dyDescent="0.3">
      <c r="H160" s="5"/>
      <c r="J160" s="6"/>
      <c r="N160" s="4"/>
    </row>
    <row r="161" spans="8:14" x14ac:dyDescent="0.3">
      <c r="H161" s="5"/>
      <c r="J161" s="6"/>
      <c r="N161" s="4"/>
    </row>
    <row r="162" spans="8:14" x14ac:dyDescent="0.3">
      <c r="H162" s="5"/>
      <c r="J162" s="6"/>
      <c r="N162" s="4"/>
    </row>
    <row r="163" spans="8:14" x14ac:dyDescent="0.3">
      <c r="H163" s="5"/>
      <c r="J163" s="6"/>
      <c r="N163" s="4"/>
    </row>
    <row r="164" spans="8:14" x14ac:dyDescent="0.3">
      <c r="H164" s="5"/>
      <c r="J164" s="6"/>
      <c r="N164" s="4"/>
    </row>
    <row r="165" spans="8:14" x14ac:dyDescent="0.3">
      <c r="H165" s="5"/>
      <c r="J165" s="6"/>
      <c r="N165" s="4"/>
    </row>
    <row r="166" spans="8:14" x14ac:dyDescent="0.3">
      <c r="H166" s="5"/>
      <c r="J166" s="6"/>
      <c r="N166" s="4"/>
    </row>
    <row r="167" spans="8:14" x14ac:dyDescent="0.3">
      <c r="H167" s="5"/>
      <c r="J167" s="6"/>
      <c r="N167" s="4"/>
    </row>
    <row r="168" spans="8:14" x14ac:dyDescent="0.3">
      <c r="H168" s="5"/>
      <c r="J168" s="6"/>
      <c r="N168" s="4"/>
    </row>
    <row r="169" spans="8:14" x14ac:dyDescent="0.3">
      <c r="H169" s="5"/>
      <c r="J169" s="6"/>
      <c r="N169" s="4"/>
    </row>
    <row r="170" spans="8:14" x14ac:dyDescent="0.3">
      <c r="H170" s="5"/>
      <c r="J170" s="6"/>
      <c r="N170" s="4"/>
    </row>
    <row r="171" spans="8:14" x14ac:dyDescent="0.3">
      <c r="H171" s="5"/>
      <c r="J171" s="6"/>
      <c r="N171" s="4"/>
    </row>
    <row r="172" spans="8:14" x14ac:dyDescent="0.3">
      <c r="H172" s="5"/>
      <c r="J172" s="6"/>
      <c r="N172" s="4"/>
    </row>
    <row r="173" spans="8:14" x14ac:dyDescent="0.3">
      <c r="H173" s="5"/>
      <c r="J173" s="6"/>
      <c r="N173" s="4"/>
    </row>
    <row r="174" spans="8:14" x14ac:dyDescent="0.3">
      <c r="H174" s="5"/>
      <c r="J174" s="6"/>
      <c r="N174" s="4"/>
    </row>
    <row r="175" spans="8:14" x14ac:dyDescent="0.3">
      <c r="H175" s="5"/>
      <c r="J175" s="6"/>
      <c r="N175" s="4"/>
    </row>
    <row r="176" spans="8:14" x14ac:dyDescent="0.3">
      <c r="H176" s="5"/>
      <c r="J176" s="6"/>
      <c r="N176" s="4"/>
    </row>
    <row r="177" spans="8:14" x14ac:dyDescent="0.3">
      <c r="H177" s="5"/>
      <c r="J177" s="6"/>
      <c r="N177" s="4"/>
    </row>
    <row r="178" spans="8:14" x14ac:dyDescent="0.3">
      <c r="H178" s="5"/>
      <c r="J178" s="6"/>
      <c r="N178" s="4"/>
    </row>
    <row r="179" spans="8:14" x14ac:dyDescent="0.3">
      <c r="H179" s="5"/>
      <c r="J179" s="6"/>
      <c r="N179" s="4"/>
    </row>
    <row r="180" spans="8:14" x14ac:dyDescent="0.3">
      <c r="H180" s="5"/>
      <c r="J180" s="6"/>
      <c r="N180" s="4"/>
    </row>
    <row r="181" spans="8:14" x14ac:dyDescent="0.3">
      <c r="H181" s="5"/>
      <c r="J181" s="6"/>
      <c r="N181" s="4"/>
    </row>
    <row r="182" spans="8:14" x14ac:dyDescent="0.3">
      <c r="H182" s="5"/>
      <c r="J182" s="6"/>
      <c r="N182" s="4"/>
    </row>
    <row r="183" spans="8:14" x14ac:dyDescent="0.3">
      <c r="H183" s="5"/>
      <c r="J183" s="6"/>
      <c r="N183" s="4"/>
    </row>
    <row r="184" spans="8:14" x14ac:dyDescent="0.3">
      <c r="H184" s="5"/>
      <c r="J184" s="6"/>
      <c r="N184" s="4"/>
    </row>
    <row r="185" spans="8:14" x14ac:dyDescent="0.3">
      <c r="H185" s="5"/>
      <c r="J185" s="6"/>
      <c r="N185" s="4"/>
    </row>
    <row r="186" spans="8:14" x14ac:dyDescent="0.3">
      <c r="H186" s="5"/>
      <c r="J186" s="6"/>
      <c r="N186" s="4"/>
    </row>
    <row r="187" spans="8:14" x14ac:dyDescent="0.3">
      <c r="H187" s="5"/>
      <c r="J187" s="6"/>
      <c r="N187" s="4"/>
    </row>
    <row r="188" spans="8:14" x14ac:dyDescent="0.3">
      <c r="H188" s="5"/>
      <c r="J188" s="6"/>
      <c r="N188" s="4"/>
    </row>
    <row r="189" spans="8:14" x14ac:dyDescent="0.3">
      <c r="H189" s="5"/>
      <c r="J189" s="6"/>
      <c r="N189" s="4"/>
    </row>
    <row r="190" spans="8:14" x14ac:dyDescent="0.3">
      <c r="H190" s="5"/>
      <c r="J190" s="6"/>
      <c r="N190" s="4"/>
    </row>
    <row r="191" spans="8:14" x14ac:dyDescent="0.3">
      <c r="H191" s="5"/>
      <c r="J191" s="6"/>
      <c r="N191" s="4"/>
    </row>
    <row r="192" spans="8:14" x14ac:dyDescent="0.3">
      <c r="H192" s="5"/>
      <c r="J192" s="6"/>
      <c r="N192" s="4"/>
    </row>
    <row r="193" spans="8:14" x14ac:dyDescent="0.3">
      <c r="H193" s="5"/>
      <c r="J193" s="6"/>
      <c r="N193" s="4"/>
    </row>
    <row r="194" spans="8:14" x14ac:dyDescent="0.3">
      <c r="H194" s="5"/>
      <c r="J194" s="6"/>
      <c r="N194" s="4"/>
    </row>
    <row r="195" spans="8:14" x14ac:dyDescent="0.3">
      <c r="H195" s="5"/>
      <c r="J195" s="6"/>
      <c r="N195" s="4"/>
    </row>
    <row r="196" spans="8:14" x14ac:dyDescent="0.3">
      <c r="H196" s="5"/>
      <c r="J196" s="6"/>
      <c r="N196" s="4"/>
    </row>
    <row r="197" spans="8:14" x14ac:dyDescent="0.3">
      <c r="H197" s="5"/>
      <c r="J197" s="6"/>
      <c r="N197" s="4"/>
    </row>
    <row r="198" spans="8:14" x14ac:dyDescent="0.3">
      <c r="H198" s="5"/>
      <c r="J198" s="6"/>
      <c r="N198" s="4"/>
    </row>
    <row r="199" spans="8:14" x14ac:dyDescent="0.3">
      <c r="H199" s="5"/>
      <c r="J199" s="6"/>
      <c r="N199" s="4"/>
    </row>
    <row r="200" spans="8:14" x14ac:dyDescent="0.3">
      <c r="H200" s="5"/>
      <c r="J200" s="6"/>
      <c r="N200" s="4"/>
    </row>
    <row r="201" spans="8:14" x14ac:dyDescent="0.3">
      <c r="H201" s="5"/>
      <c r="J201" s="6"/>
      <c r="N201" s="4"/>
    </row>
    <row r="202" spans="8:14" x14ac:dyDescent="0.3">
      <c r="H202" s="5"/>
      <c r="J202" s="6"/>
      <c r="N202" s="4"/>
    </row>
    <row r="203" spans="8:14" x14ac:dyDescent="0.3">
      <c r="H203" s="5"/>
      <c r="J203" s="6"/>
      <c r="N203" s="4"/>
    </row>
    <row r="204" spans="8:14" x14ac:dyDescent="0.3">
      <c r="H204" s="5"/>
      <c r="J204" s="6"/>
      <c r="N204" s="4"/>
    </row>
    <row r="205" spans="8:14" x14ac:dyDescent="0.3">
      <c r="H205" s="5"/>
      <c r="J205" s="6"/>
      <c r="N205" s="4"/>
    </row>
    <row r="206" spans="8:14" x14ac:dyDescent="0.3">
      <c r="H206" s="5"/>
      <c r="J206" s="6"/>
      <c r="N206" s="4"/>
    </row>
    <row r="207" spans="8:14" x14ac:dyDescent="0.3">
      <c r="H207" s="5"/>
      <c r="J207" s="6"/>
      <c r="N207" s="4"/>
    </row>
    <row r="208" spans="8:14" x14ac:dyDescent="0.3">
      <c r="H208" s="5"/>
      <c r="J208" s="6"/>
      <c r="N208" s="4"/>
    </row>
    <row r="209" spans="8:14" x14ac:dyDescent="0.3">
      <c r="H209" s="5"/>
      <c r="J209" s="6"/>
      <c r="N209" s="4"/>
    </row>
    <row r="210" spans="8:14" x14ac:dyDescent="0.3">
      <c r="H210" s="5"/>
      <c r="J210" s="6"/>
      <c r="N210" s="4"/>
    </row>
    <row r="211" spans="8:14" x14ac:dyDescent="0.3">
      <c r="H211" s="5"/>
      <c r="J211" s="6"/>
      <c r="N211" s="4"/>
    </row>
    <row r="212" spans="8:14" x14ac:dyDescent="0.3">
      <c r="H212" s="5"/>
      <c r="J212" s="6"/>
      <c r="N212" s="4"/>
    </row>
    <row r="213" spans="8:14" x14ac:dyDescent="0.3">
      <c r="H213" s="5"/>
      <c r="J213" s="6"/>
      <c r="N213" s="4"/>
    </row>
    <row r="214" spans="8:14" x14ac:dyDescent="0.3">
      <c r="H214" s="5"/>
      <c r="J214" s="6"/>
      <c r="N214" s="4"/>
    </row>
    <row r="215" spans="8:14" x14ac:dyDescent="0.3">
      <c r="H215" s="5"/>
      <c r="J215" s="6"/>
      <c r="N215" s="4"/>
    </row>
    <row r="216" spans="8:14" x14ac:dyDescent="0.3">
      <c r="H216" s="5"/>
      <c r="J216" s="6"/>
      <c r="N216" s="4"/>
    </row>
    <row r="217" spans="8:14" x14ac:dyDescent="0.3">
      <c r="H217" s="5"/>
      <c r="J217" s="6"/>
      <c r="N217" s="4"/>
    </row>
    <row r="218" spans="8:14" x14ac:dyDescent="0.3">
      <c r="H218" s="5"/>
      <c r="J218" s="6"/>
      <c r="N218" s="4"/>
    </row>
    <row r="219" spans="8:14" x14ac:dyDescent="0.3">
      <c r="H219" s="5"/>
      <c r="J219" s="6"/>
      <c r="N219" s="4"/>
    </row>
    <row r="220" spans="8:14" x14ac:dyDescent="0.3">
      <c r="H220" s="5"/>
      <c r="J220" s="6"/>
      <c r="N220" s="4"/>
    </row>
    <row r="221" spans="8:14" x14ac:dyDescent="0.3">
      <c r="H221" s="5"/>
      <c r="J221" s="6"/>
      <c r="N221" s="4"/>
    </row>
    <row r="222" spans="8:14" x14ac:dyDescent="0.3">
      <c r="H222" s="5"/>
      <c r="J222" s="6"/>
      <c r="N222" s="4"/>
    </row>
    <row r="223" spans="8:14" x14ac:dyDescent="0.3">
      <c r="H223" s="5"/>
      <c r="J223" s="6"/>
      <c r="N223" s="4"/>
    </row>
    <row r="224" spans="8:14" x14ac:dyDescent="0.3">
      <c r="H224" s="5"/>
      <c r="J224" s="6"/>
      <c r="N224" s="4"/>
    </row>
    <row r="225" spans="8:14" x14ac:dyDescent="0.3">
      <c r="H225" s="5"/>
      <c r="J225" s="6"/>
      <c r="N225" s="4"/>
    </row>
    <row r="226" spans="8:14" x14ac:dyDescent="0.3">
      <c r="H226" s="5"/>
      <c r="J226" s="6"/>
      <c r="N226" s="4"/>
    </row>
    <row r="227" spans="8:14" x14ac:dyDescent="0.3">
      <c r="H227" s="5"/>
      <c r="J227" s="6"/>
      <c r="N227" s="4"/>
    </row>
    <row r="228" spans="8:14" x14ac:dyDescent="0.3">
      <c r="H228" s="5"/>
      <c r="J228" s="6"/>
      <c r="N228" s="4"/>
    </row>
    <row r="229" spans="8:14" x14ac:dyDescent="0.3">
      <c r="H229" s="5"/>
      <c r="J229" s="6"/>
      <c r="N229" s="4"/>
    </row>
    <row r="230" spans="8:14" x14ac:dyDescent="0.3">
      <c r="H230" s="5"/>
      <c r="J230" s="6"/>
      <c r="N230" s="4"/>
    </row>
    <row r="231" spans="8:14" x14ac:dyDescent="0.3">
      <c r="H231" s="5"/>
      <c r="J231" s="6"/>
      <c r="N231" s="4"/>
    </row>
    <row r="232" spans="8:14" x14ac:dyDescent="0.3">
      <c r="H232" s="5"/>
      <c r="J232" s="6"/>
      <c r="N232" s="4"/>
    </row>
    <row r="233" spans="8:14" x14ac:dyDescent="0.3">
      <c r="H233" s="5"/>
      <c r="J233" s="6"/>
      <c r="N233" s="4"/>
    </row>
    <row r="234" spans="8:14" x14ac:dyDescent="0.3">
      <c r="H234" s="5"/>
      <c r="J234" s="6"/>
      <c r="N234" s="4"/>
    </row>
    <row r="235" spans="8:14" x14ac:dyDescent="0.3">
      <c r="H235" s="5"/>
      <c r="J235" s="6"/>
      <c r="N235" s="4"/>
    </row>
    <row r="236" spans="8:14" x14ac:dyDescent="0.3">
      <c r="H236" s="5"/>
      <c r="J236" s="6"/>
      <c r="N236" s="4"/>
    </row>
    <row r="237" spans="8:14" x14ac:dyDescent="0.3">
      <c r="H237" s="5"/>
      <c r="J237" s="6"/>
      <c r="N237" s="4"/>
    </row>
    <row r="238" spans="8:14" x14ac:dyDescent="0.3">
      <c r="H238" s="5"/>
      <c r="J238" s="6"/>
      <c r="N238" s="4"/>
    </row>
    <row r="239" spans="8:14" x14ac:dyDescent="0.3">
      <c r="H239" s="5"/>
      <c r="J239" s="6"/>
      <c r="N239" s="4"/>
    </row>
    <row r="240" spans="8:14" x14ac:dyDescent="0.3">
      <c r="H240" s="5"/>
      <c r="J240" s="6"/>
      <c r="N240" s="4"/>
    </row>
    <row r="241" spans="8:14" x14ac:dyDescent="0.3">
      <c r="H241" s="5"/>
      <c r="J241" s="6"/>
      <c r="N241" s="4"/>
    </row>
    <row r="242" spans="8:14" x14ac:dyDescent="0.3">
      <c r="H242" s="5"/>
      <c r="J242" s="6"/>
      <c r="N242" s="4"/>
    </row>
    <row r="243" spans="8:14" x14ac:dyDescent="0.3">
      <c r="H243" s="5"/>
      <c r="J243" s="6"/>
      <c r="N243" s="4"/>
    </row>
    <row r="244" spans="8:14" x14ac:dyDescent="0.3">
      <c r="H244" s="5"/>
      <c r="J244" s="6"/>
      <c r="N244" s="4"/>
    </row>
    <row r="245" spans="8:14" x14ac:dyDescent="0.3">
      <c r="H245" s="5"/>
      <c r="J245" s="6"/>
      <c r="N245" s="4"/>
    </row>
    <row r="246" spans="8:14" x14ac:dyDescent="0.3">
      <c r="H246" s="5"/>
      <c r="J246" s="6"/>
      <c r="N246" s="4"/>
    </row>
    <row r="247" spans="8:14" x14ac:dyDescent="0.3">
      <c r="H247" s="5"/>
      <c r="J247" s="6"/>
      <c r="N247" s="4"/>
    </row>
    <row r="248" spans="8:14" x14ac:dyDescent="0.3">
      <c r="H248" s="5"/>
      <c r="J248" s="6"/>
      <c r="N248" s="4"/>
    </row>
    <row r="249" spans="8:14" x14ac:dyDescent="0.3">
      <c r="H249" s="5"/>
      <c r="J249" s="6"/>
      <c r="N249" s="4"/>
    </row>
    <row r="250" spans="8:14" x14ac:dyDescent="0.3">
      <c r="H250" s="5"/>
      <c r="J250" s="6"/>
      <c r="N250" s="4"/>
    </row>
    <row r="251" spans="8:14" x14ac:dyDescent="0.3">
      <c r="H251" s="5"/>
      <c r="J251" s="6"/>
      <c r="N251" s="4"/>
    </row>
    <row r="252" spans="8:14" x14ac:dyDescent="0.3">
      <c r="H252" s="5"/>
      <c r="J252" s="6"/>
      <c r="N252" s="4"/>
    </row>
    <row r="253" spans="8:14" x14ac:dyDescent="0.3">
      <c r="H253" s="5"/>
      <c r="J253" s="6"/>
      <c r="N253" s="4"/>
    </row>
    <row r="254" spans="8:14" x14ac:dyDescent="0.3">
      <c r="H254" s="5"/>
      <c r="J254" s="6"/>
      <c r="N254" s="4"/>
    </row>
    <row r="255" spans="8:14" x14ac:dyDescent="0.3">
      <c r="H255" s="5"/>
      <c r="J255" s="6"/>
      <c r="N255" s="4"/>
    </row>
    <row r="256" spans="8:14" x14ac:dyDescent="0.3">
      <c r="H256" s="5"/>
      <c r="J256" s="6"/>
      <c r="N256" s="4"/>
    </row>
    <row r="257" spans="8:14" x14ac:dyDescent="0.3">
      <c r="H257" s="5"/>
      <c r="J257" s="6"/>
      <c r="N257" s="4"/>
    </row>
    <row r="258" spans="8:14" x14ac:dyDescent="0.3">
      <c r="H258" s="5"/>
      <c r="J258" s="6"/>
      <c r="N258" s="4"/>
    </row>
    <row r="259" spans="8:14" x14ac:dyDescent="0.3">
      <c r="H259" s="5"/>
      <c r="J259" s="6"/>
      <c r="N259" s="4"/>
    </row>
    <row r="260" spans="8:14" x14ac:dyDescent="0.3">
      <c r="H260" s="5"/>
      <c r="J260" s="6"/>
      <c r="N260" s="4"/>
    </row>
    <row r="261" spans="8:14" x14ac:dyDescent="0.3">
      <c r="H261" s="5"/>
      <c r="J261" s="6"/>
      <c r="N261" s="4"/>
    </row>
    <row r="262" spans="8:14" x14ac:dyDescent="0.3">
      <c r="H262" s="5"/>
      <c r="J262" s="6"/>
      <c r="N262" s="4"/>
    </row>
    <row r="263" spans="8:14" x14ac:dyDescent="0.3">
      <c r="H263" s="5"/>
      <c r="J263" s="6"/>
      <c r="N263" s="4"/>
    </row>
    <row r="264" spans="8:14" x14ac:dyDescent="0.3">
      <c r="H264" s="5"/>
      <c r="J264" s="6"/>
      <c r="N264" s="4"/>
    </row>
    <row r="265" spans="8:14" x14ac:dyDescent="0.3">
      <c r="H265" s="5"/>
      <c r="J265" s="6"/>
      <c r="N265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ACF5-A7FE-4215-AFA5-847EEB8418F0}">
  <dimension ref="B2:F15"/>
  <sheetViews>
    <sheetView zoomScale="164" zoomScaleNormal="190" workbookViewId="0">
      <selection activeCell="H12" sqref="H12"/>
    </sheetView>
  </sheetViews>
  <sheetFormatPr defaultRowHeight="14.4" x14ac:dyDescent="0.3"/>
  <cols>
    <col min="1" max="1" width="4.5546875" customWidth="1"/>
    <col min="2" max="2" width="26.88671875" customWidth="1"/>
    <col min="3" max="4" width="13.88671875" customWidth="1"/>
    <col min="5" max="5" width="11.109375" customWidth="1"/>
    <col min="6" max="6" width="19.44140625" customWidth="1"/>
  </cols>
  <sheetData>
    <row r="2" spans="2:6" x14ac:dyDescent="0.3">
      <c r="B2" s="26" t="s">
        <v>4</v>
      </c>
      <c r="C2" s="26" t="s">
        <v>761</v>
      </c>
      <c r="D2" s="26" t="s">
        <v>762</v>
      </c>
      <c r="E2" s="26" t="s">
        <v>763</v>
      </c>
      <c r="F2" s="29" t="s">
        <v>765</v>
      </c>
    </row>
    <row r="3" spans="2:6" x14ac:dyDescent="0.3">
      <c r="B3" t="s">
        <v>36</v>
      </c>
      <c r="C3">
        <f>COUNTIFS(staff[Department],B3)</f>
        <v>24</v>
      </c>
      <c r="D3" s="27">
        <f>SUMIFS(staff[Salary],staff[Department],B3)</f>
        <v>2013215.16</v>
      </c>
      <c r="E3" s="27">
        <f>AVERAGEIFS(staff[Salary],staff[Department],B3)</f>
        <v>83883.964999999997</v>
      </c>
      <c r="F3">
        <f>COUNTIFS(staff[Department],B3,staff[Employee type],"permanent")</f>
        <v>11</v>
      </c>
    </row>
    <row r="4" spans="2:6" x14ac:dyDescent="0.3">
      <c r="B4" t="s">
        <v>25</v>
      </c>
      <c r="C4">
        <f>COUNTIFS(staff[Department],B4)</f>
        <v>24</v>
      </c>
      <c r="D4" s="27">
        <f>SUMIFS(staff[Salary],staff[Department],B4)</f>
        <v>1912935.47</v>
      </c>
      <c r="E4" s="27">
        <f>AVERAGEIFS(staff[Salary],staff[Department],B4)</f>
        <v>79705.644583333327</v>
      </c>
      <c r="F4">
        <f>COUNTIFS(staff[Department],B4,staff[Employee type],"permanent")</f>
        <v>16</v>
      </c>
    </row>
    <row r="5" spans="2:6" x14ac:dyDescent="0.3">
      <c r="B5" t="s">
        <v>780</v>
      </c>
      <c r="C5">
        <f>COUNTIFS(staff[Department],B5)</f>
        <v>2</v>
      </c>
      <c r="D5" s="27">
        <f>SUMIFS(staff[Salary],staff[Department],B5)</f>
        <v>165695.74</v>
      </c>
      <c r="E5" s="27">
        <f>AVERAGEIFS(staff[Salary],staff[Department],B5)</f>
        <v>82847.87</v>
      </c>
      <c r="F5">
        <f>COUNTIFS(staff[Department],B5,staff[Employee type],"permanent")</f>
        <v>2</v>
      </c>
    </row>
    <row r="6" spans="2:6" x14ac:dyDescent="0.3">
      <c r="B6" t="s">
        <v>16</v>
      </c>
      <c r="C6">
        <f>COUNTIFS(staff[Department],B6)</f>
        <v>26</v>
      </c>
      <c r="D6" s="27">
        <f>SUMIFS(staff[Salary],staff[Department],B6)</f>
        <v>2131387.4900000002</v>
      </c>
      <c r="E6" s="27">
        <f>AVERAGEIFS(staff[Salary],staff[Department],B6)</f>
        <v>81976.441923076927</v>
      </c>
      <c r="F6">
        <f>COUNTIFS(staff[Department],B6,staff[Employee type],"permanent")</f>
        <v>16</v>
      </c>
    </row>
    <row r="7" spans="2:6" x14ac:dyDescent="0.3">
      <c r="B7" t="s">
        <v>54</v>
      </c>
      <c r="C7">
        <f>COUNTIFS(staff[Department],B7)</f>
        <v>12</v>
      </c>
      <c r="D7" s="27">
        <f>SUMIFS(staff[Salary],staff[Department],B7)</f>
        <v>773295.6</v>
      </c>
      <c r="E7" s="27">
        <f>AVERAGEIFS(staff[Salary],staff[Department],B7)</f>
        <v>64441.299999999996</v>
      </c>
      <c r="F7">
        <f>COUNTIFS(staff[Department],B7,staff[Employee type],"permanent")</f>
        <v>9</v>
      </c>
    </row>
    <row r="8" spans="2:6" x14ac:dyDescent="0.3">
      <c r="B8" t="s">
        <v>131</v>
      </c>
      <c r="C8">
        <f>COUNTIFS(staff[Department],B8)</f>
        <v>21</v>
      </c>
      <c r="D8" s="27">
        <f>SUMIFS(staff[Salary],staff[Department],B8)</f>
        <v>1412092.8699999999</v>
      </c>
      <c r="E8" s="27">
        <f>AVERAGEIFS(staff[Salary],staff[Department],B8)</f>
        <v>67242.51761904762</v>
      </c>
      <c r="F8">
        <f>COUNTIFS(staff[Department],B8,staff[Employee type],"permanent")</f>
        <v>13</v>
      </c>
    </row>
    <row r="9" spans="2:6" x14ac:dyDescent="0.3">
      <c r="B9" t="s">
        <v>101</v>
      </c>
      <c r="C9">
        <f>COUNTIFS(staff[Department],B9)</f>
        <v>26</v>
      </c>
      <c r="D9" s="27">
        <f>SUMIFS(staff[Salary],staff[Department],B9)</f>
        <v>1814980.5900000003</v>
      </c>
      <c r="E9" s="27">
        <f>AVERAGEIFS(staff[Salary],staff[Department],B9)</f>
        <v>69806.945769230777</v>
      </c>
      <c r="F9">
        <f>COUNTIFS(staff[Department],B9,staff[Employee type],"permanent")</f>
        <v>18</v>
      </c>
    </row>
    <row r="10" spans="2:6" x14ac:dyDescent="0.3">
      <c r="B10" t="s">
        <v>97</v>
      </c>
      <c r="C10">
        <f>COUNTIFS(staff[Department],B10)</f>
        <v>22</v>
      </c>
      <c r="D10" s="27">
        <f>SUMIFS(staff[Salary],staff[Department],B10)</f>
        <v>1608406.31</v>
      </c>
      <c r="E10" s="27">
        <f>AVERAGEIFS(staff[Salary],staff[Department],B10)</f>
        <v>73109.377727272731</v>
      </c>
      <c r="F10">
        <f>COUNTIFS(staff[Department],B10,staff[Employee type],"permanent")</f>
        <v>13</v>
      </c>
    </row>
    <row r="11" spans="2:6" x14ac:dyDescent="0.3">
      <c r="B11" t="s">
        <v>58</v>
      </c>
      <c r="C11">
        <f>COUNTIFS(staff[Department],B11)</f>
        <v>18</v>
      </c>
      <c r="D11" s="27">
        <f>SUMIFS(staff[Salary],staff[Department],B11)</f>
        <v>1204393.7800000003</v>
      </c>
      <c r="E11" s="27">
        <f>AVERAGEIFS(staff[Salary],staff[Department],B11)</f>
        <v>66910.765555555568</v>
      </c>
      <c r="F11">
        <f>COUNTIFS(staff[Department],B11,staff[Employee type],"permanent")</f>
        <v>11</v>
      </c>
    </row>
    <row r="12" spans="2:6" x14ac:dyDescent="0.3">
      <c r="B12" t="s">
        <v>32</v>
      </c>
      <c r="C12">
        <f>COUNTIFS(staff[Department],B12)</f>
        <v>21</v>
      </c>
      <c r="D12" s="27">
        <f>SUMIFS(staff[Salary],staff[Department],B12)</f>
        <v>1568153.47</v>
      </c>
      <c r="E12" s="27">
        <f>AVERAGEIFS(staff[Salary],staff[Department],B12)</f>
        <v>74673.974761904756</v>
      </c>
      <c r="F12">
        <f>COUNTIFS(staff[Department],B12,staff[Employee type],"permanent")</f>
        <v>16</v>
      </c>
    </row>
    <row r="13" spans="2:6" x14ac:dyDescent="0.3">
      <c r="B13" t="s">
        <v>124</v>
      </c>
      <c r="C13">
        <f>COUNTIFS(staff[Department],B13)</f>
        <v>29</v>
      </c>
      <c r="D13" s="27">
        <f>SUMIFS(staff[Salary],staff[Department],B13)</f>
        <v>2180192.87</v>
      </c>
      <c r="E13" s="27">
        <f>AVERAGEIFS(staff[Salary],staff[Department],B13)</f>
        <v>75179.064482758622</v>
      </c>
      <c r="F13">
        <f>COUNTIFS(staff[Department],B13,staff[Employee type],"permanent")</f>
        <v>19</v>
      </c>
    </row>
    <row r="14" spans="2:6" x14ac:dyDescent="0.3">
      <c r="B14" t="s">
        <v>50</v>
      </c>
      <c r="C14">
        <f>COUNTIFS(staff[Department],B14)</f>
        <v>17</v>
      </c>
      <c r="D14" s="27">
        <f>SUMIFS(staff[Salary],staff[Department],B14)</f>
        <v>1129351.75</v>
      </c>
      <c r="E14" s="27">
        <f>AVERAGEIFS(staff[Salary],staff[Department],B14)</f>
        <v>66432.455882352937</v>
      </c>
      <c r="F14">
        <f>COUNTIFS(staff[Department],B14,staff[Employee type],"permanent")</f>
        <v>11</v>
      </c>
    </row>
    <row r="15" spans="2:6" x14ac:dyDescent="0.3">
      <c r="B15" t="s">
        <v>105</v>
      </c>
      <c r="C15">
        <f>COUNTIFS(staff[Department],B15)</f>
        <v>18</v>
      </c>
      <c r="D15" s="27">
        <f>SUMIFS(staff[Salary],staff[Department],B15)</f>
        <v>1294147.7199999997</v>
      </c>
      <c r="E15" s="27">
        <f>AVERAGEIFS(staff[Salary],staff[Department],B15)</f>
        <v>71897.095555555541</v>
      </c>
      <c r="F15">
        <f>COUNTIFS(staff[Department],B15,staff[Employee type],"permanent")</f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934F-A952-4240-80AA-42257F8DCDAB}">
  <dimension ref="B1:N117"/>
  <sheetViews>
    <sheetView topLeftCell="B90" zoomScale="148" zoomScaleNormal="190" workbookViewId="0">
      <selection activeCell="I97" sqref="I97"/>
    </sheetView>
  </sheetViews>
  <sheetFormatPr defaultRowHeight="14.4" x14ac:dyDescent="0.3"/>
  <cols>
    <col min="1" max="1" width="3.5546875" customWidth="1"/>
    <col min="7" max="7" width="11.44140625" bestFit="1" customWidth="1"/>
    <col min="9" max="9" width="11" bestFit="1" customWidth="1"/>
  </cols>
  <sheetData>
    <row r="1" spans="2:14" x14ac:dyDescent="0.3">
      <c r="B1" s="25" t="s">
        <v>766</v>
      </c>
    </row>
    <row r="2" spans="2:14" x14ac:dyDescent="0.3">
      <c r="B2" s="29" t="str" cm="1">
        <f t="array" ref="B2:N2">staff[#Headers]</f>
        <v>Emp ID</v>
      </c>
      <c r="C2" s="29" t="str">
        <v>First Name</v>
      </c>
      <c r="D2" s="29" t="str">
        <v>Last Name</v>
      </c>
      <c r="E2" s="29" t="str">
        <v>Gender</v>
      </c>
      <c r="F2" s="29" t="str">
        <v>Department</v>
      </c>
      <c r="G2" s="29" t="str">
        <v>Salary</v>
      </c>
      <c r="H2" s="29" t="str">
        <v>Salary Bucket</v>
      </c>
      <c r="I2" s="29" t="str">
        <v>Start Date</v>
      </c>
      <c r="J2" s="29" t="str">
        <v>FTE</v>
      </c>
      <c r="K2" s="29" t="str">
        <v>Employee type</v>
      </c>
      <c r="L2" s="29" t="str">
        <v>Work location</v>
      </c>
      <c r="M2" s="29" t="str">
        <v>Tenure</v>
      </c>
      <c r="N2" s="29" t="str">
        <v>Work Type</v>
      </c>
    </row>
    <row r="3" spans="2:14" x14ac:dyDescent="0.3">
      <c r="B3" t="str" cm="1">
        <f t="array" ref="B3:N49">_xlfn._xlws.FILTER(staff[],staff[Salary]&gt;100000)</f>
        <v>VT02491</v>
      </c>
      <c r="C3" t="str">
        <v>Alexis</v>
      </c>
      <c r="D3" t="str">
        <v>Gotfrey</v>
      </c>
      <c r="E3" t="str">
        <v>Male</v>
      </c>
      <c r="F3" t="str">
        <v>Engineering</v>
      </c>
      <c r="G3" s="64">
        <v>114465.93</v>
      </c>
      <c r="H3" t="str">
        <v>Above 100k</v>
      </c>
      <c r="I3" s="28">
        <v>43291</v>
      </c>
      <c r="J3">
        <v>1</v>
      </c>
      <c r="K3" t="str">
        <v>Temporary</v>
      </c>
      <c r="L3" t="str">
        <v>Wellington, New Zealand</v>
      </c>
      <c r="M3" s="65">
        <v>5.9534246575342467</v>
      </c>
      <c r="N3" t="str">
        <v>Full time</v>
      </c>
    </row>
    <row r="4" spans="2:14" x14ac:dyDescent="0.3">
      <c r="B4" t="str">
        <v>VT03421</v>
      </c>
      <c r="C4" t="str">
        <v>Alic</v>
      </c>
      <c r="D4" t="str">
        <v>Bagg</v>
      </c>
      <c r="E4" t="str">
        <v>Male</v>
      </c>
      <c r="F4" t="str">
        <v>Legal</v>
      </c>
      <c r="G4" s="64">
        <v>113747.56</v>
      </c>
      <c r="H4" t="str">
        <v>Above 100k</v>
      </c>
      <c r="I4" s="28">
        <v>44270</v>
      </c>
      <c r="J4">
        <v>0.7</v>
      </c>
      <c r="K4" t="str">
        <v>Temporary</v>
      </c>
      <c r="L4" t="str">
        <v>Columbus, USA</v>
      </c>
      <c r="M4" s="65">
        <v>3.2712328767123289</v>
      </c>
      <c r="N4" t="str">
        <v>Part time</v>
      </c>
    </row>
    <row r="5" spans="2:14" x14ac:dyDescent="0.3">
      <c r="B5" t="str">
        <v>VT03421</v>
      </c>
      <c r="C5" t="str">
        <v>Alic</v>
      </c>
      <c r="D5" t="str">
        <v>Bagg</v>
      </c>
      <c r="E5" t="str">
        <v>Male</v>
      </c>
      <c r="F5" t="str">
        <v>Legal</v>
      </c>
      <c r="G5" s="64">
        <v>113747.56</v>
      </c>
      <c r="H5" t="str">
        <v>Above 100k</v>
      </c>
      <c r="I5" s="28">
        <v>44270</v>
      </c>
      <c r="J5">
        <v>0.7</v>
      </c>
      <c r="K5" t="str">
        <v>Temporary</v>
      </c>
      <c r="L5" t="str">
        <v>Columbus, USA</v>
      </c>
      <c r="M5" s="65">
        <v>3.2712328767123289</v>
      </c>
      <c r="N5" t="str">
        <v>Part time</v>
      </c>
    </row>
    <row r="6" spans="2:14" x14ac:dyDescent="0.3">
      <c r="B6" t="str">
        <v>PR02288</v>
      </c>
      <c r="C6" t="str">
        <v>Althea</v>
      </c>
      <c r="D6" t="str">
        <v>Bronger</v>
      </c>
      <c r="E6" t="str">
        <v>Male</v>
      </c>
      <c r="F6" t="str">
        <v>Product Management</v>
      </c>
      <c r="G6" s="64">
        <v>104335.03999999999</v>
      </c>
      <c r="H6" t="str">
        <v>Above 100k</v>
      </c>
      <c r="I6" s="28">
        <v>43874</v>
      </c>
      <c r="J6">
        <v>1</v>
      </c>
      <c r="K6" t="str">
        <v>Permanent</v>
      </c>
      <c r="L6" t="str">
        <v>Columbus, USA</v>
      </c>
      <c r="M6" s="65">
        <v>4.3561643835616435</v>
      </c>
      <c r="N6" t="str">
        <v>Full time</v>
      </c>
    </row>
    <row r="7" spans="2:14" x14ac:dyDescent="0.3">
      <c r="B7" t="str">
        <v>SQ00498</v>
      </c>
      <c r="C7" t="str">
        <v>Amery</v>
      </c>
      <c r="D7" t="str">
        <v>Ofer</v>
      </c>
      <c r="E7" t="str">
        <v>Female</v>
      </c>
      <c r="F7" t="str">
        <v>Legal</v>
      </c>
      <c r="G7" s="64">
        <v>111049.84</v>
      </c>
      <c r="H7" t="str">
        <v>Above 100k</v>
      </c>
      <c r="I7" s="28">
        <v>44393</v>
      </c>
      <c r="J7">
        <v>1</v>
      </c>
      <c r="K7" t="str">
        <v>Permanent</v>
      </c>
      <c r="L7" t="str">
        <v>Wellington, New Zealand</v>
      </c>
      <c r="M7" s="65">
        <v>2.9342465753424656</v>
      </c>
      <c r="N7" t="str">
        <v>Full time</v>
      </c>
    </row>
    <row r="8" spans="2:14" x14ac:dyDescent="0.3">
      <c r="B8" t="str">
        <v>SQ02035</v>
      </c>
      <c r="C8" t="str">
        <v>Anni</v>
      </c>
      <c r="D8" t="str">
        <v>Izzard</v>
      </c>
      <c r="E8" t="str">
        <v>Male</v>
      </c>
      <c r="F8" t="str">
        <v>Human Resources</v>
      </c>
      <c r="G8" s="64">
        <v>103494.94</v>
      </c>
      <c r="H8" t="str">
        <v>Above 100k</v>
      </c>
      <c r="I8" s="28">
        <v>43256</v>
      </c>
      <c r="J8">
        <v>1</v>
      </c>
      <c r="K8" t="str">
        <v>Permanent</v>
      </c>
      <c r="L8" t="str">
        <v>Remote</v>
      </c>
      <c r="M8" s="65">
        <v>6.0493150684931507</v>
      </c>
      <c r="N8" t="str">
        <v>Full time</v>
      </c>
    </row>
    <row r="9" spans="2:14" x14ac:dyDescent="0.3">
      <c r="B9" t="str">
        <v>SQ02035</v>
      </c>
      <c r="C9" t="str">
        <v>Anni</v>
      </c>
      <c r="D9" t="str">
        <v>Izzard</v>
      </c>
      <c r="E9" t="str">
        <v>Male</v>
      </c>
      <c r="F9" t="str">
        <v>Human Resources</v>
      </c>
      <c r="G9" s="64">
        <v>103494.94</v>
      </c>
      <c r="H9" t="str">
        <v>Above 100k</v>
      </c>
      <c r="I9" s="28">
        <v>43256</v>
      </c>
      <c r="J9">
        <v>1</v>
      </c>
      <c r="K9" t="str">
        <v>Permanent</v>
      </c>
      <c r="L9" t="str">
        <v>Remote</v>
      </c>
      <c r="M9" s="65">
        <v>6.0493150684931507</v>
      </c>
      <c r="N9" t="str">
        <v>Full time</v>
      </c>
    </row>
    <row r="10" spans="2:14" x14ac:dyDescent="0.3">
      <c r="B10" t="str">
        <v>VT01684</v>
      </c>
      <c r="C10" t="str">
        <v>Audry</v>
      </c>
      <c r="D10" t="str">
        <v>Yu</v>
      </c>
      <c r="E10" t="str">
        <v>Female</v>
      </c>
      <c r="F10" t="str">
        <v>Training</v>
      </c>
      <c r="G10" s="64">
        <v>101187.36</v>
      </c>
      <c r="H10" t="str">
        <v>Above 100k</v>
      </c>
      <c r="I10" s="28">
        <v>43258</v>
      </c>
      <c r="J10">
        <v>1</v>
      </c>
      <c r="K10" t="str">
        <v>Fixed Term</v>
      </c>
      <c r="L10" t="str">
        <v>Columbus, USA</v>
      </c>
      <c r="M10" s="65">
        <v>6.043835616438356</v>
      </c>
      <c r="N10" t="str">
        <v>Full time</v>
      </c>
    </row>
    <row r="11" spans="2:14" x14ac:dyDescent="0.3">
      <c r="B11" t="str">
        <v>VT04093</v>
      </c>
      <c r="C11" t="str">
        <v>Baruna</v>
      </c>
      <c r="D11" t="str">
        <v>Ogale</v>
      </c>
      <c r="E11" t="str">
        <v>Female</v>
      </c>
      <c r="F11" t="str">
        <v>Training</v>
      </c>
      <c r="G11" s="64">
        <v>116767.63</v>
      </c>
      <c r="H11" t="str">
        <v>Above 100k</v>
      </c>
      <c r="I11" s="28">
        <v>43949</v>
      </c>
      <c r="J11">
        <v>0.4</v>
      </c>
      <c r="K11" t="str">
        <v>Temporary</v>
      </c>
      <c r="L11" t="str">
        <v>Chennai, India</v>
      </c>
      <c r="M11" s="65">
        <v>4.1506849315068495</v>
      </c>
      <c r="N11" t="str">
        <v>Part time</v>
      </c>
    </row>
    <row r="12" spans="2:14" x14ac:dyDescent="0.3">
      <c r="B12" t="str">
        <v>SQ00022</v>
      </c>
      <c r="C12" t="str">
        <v>Carlin</v>
      </c>
      <c r="D12" t="str">
        <v>Demke</v>
      </c>
      <c r="E12" t="str">
        <v>Male</v>
      </c>
      <c r="F12" t="str">
        <v>Business Development</v>
      </c>
      <c r="G12" s="64">
        <v>110042.37</v>
      </c>
      <c r="H12" t="str">
        <v>Above 100k</v>
      </c>
      <c r="I12" s="28">
        <v>43914</v>
      </c>
      <c r="J12">
        <v>1</v>
      </c>
      <c r="K12" t="str">
        <v>Permanent</v>
      </c>
      <c r="L12" t="str">
        <v>Columbus, USA</v>
      </c>
      <c r="M12" s="65">
        <v>4.2465753424657535</v>
      </c>
      <c r="N12" t="str">
        <v>Full time</v>
      </c>
    </row>
    <row r="13" spans="2:14" x14ac:dyDescent="0.3">
      <c r="B13" t="str">
        <v>TN01281</v>
      </c>
      <c r="C13" t="str">
        <v>Cletus</v>
      </c>
      <c r="D13" t="str">
        <v>McGarahan</v>
      </c>
      <c r="E13" t="str">
        <v>Female</v>
      </c>
      <c r="F13" t="str">
        <v>Engineering</v>
      </c>
      <c r="G13" s="64">
        <v>114425.19</v>
      </c>
      <c r="H13" t="str">
        <v>Above 100k</v>
      </c>
      <c r="I13" s="28">
        <v>43857</v>
      </c>
      <c r="J13">
        <v>1</v>
      </c>
      <c r="K13" t="str">
        <v>Permanent</v>
      </c>
      <c r="L13" t="str">
        <v>Wellington, New Zealand</v>
      </c>
      <c r="M13" s="65">
        <v>4.4027397260273968</v>
      </c>
      <c r="N13" t="str">
        <v>Full time</v>
      </c>
    </row>
    <row r="14" spans="2:14" x14ac:dyDescent="0.3">
      <c r="B14" t="str">
        <v>SQ00144</v>
      </c>
      <c r="C14" t="str">
        <v>Collen</v>
      </c>
      <c r="D14" t="str">
        <v>Dunbleton</v>
      </c>
      <c r="E14" t="str">
        <v>Male</v>
      </c>
      <c r="F14" t="str">
        <v>Engineering</v>
      </c>
      <c r="G14" s="64">
        <v>118976.16</v>
      </c>
      <c r="H14" t="str">
        <v>Above 100k</v>
      </c>
      <c r="I14" s="28">
        <v>44120</v>
      </c>
      <c r="J14">
        <v>1</v>
      </c>
      <c r="K14" t="str">
        <v>Permanent</v>
      </c>
      <c r="L14" t="str">
        <v>Wellington, New Zealand</v>
      </c>
      <c r="M14" s="65">
        <v>3.6821917808219178</v>
      </c>
      <c r="N14" t="str">
        <v>Full time</v>
      </c>
    </row>
    <row r="15" spans="2:14" x14ac:dyDescent="0.3">
      <c r="B15" t="str">
        <v>SQ04665</v>
      </c>
      <c r="C15" t="str">
        <v>Collin</v>
      </c>
      <c r="D15" t="str">
        <v>Jagson</v>
      </c>
      <c r="E15" t="str">
        <v>Male</v>
      </c>
      <c r="F15" t="str">
        <v>Services</v>
      </c>
      <c r="G15" s="64">
        <v>100424.23</v>
      </c>
      <c r="H15" t="str">
        <v>Above 100k</v>
      </c>
      <c r="I15" s="28">
        <v>43801</v>
      </c>
      <c r="J15">
        <v>1</v>
      </c>
      <c r="K15" t="str">
        <v>Permanent</v>
      </c>
      <c r="L15" t="str">
        <v>Auckland, New Zealand</v>
      </c>
      <c r="M15" s="65">
        <v>4.5561643835616437</v>
      </c>
      <c r="N15" t="str">
        <v>Full time</v>
      </c>
    </row>
    <row r="16" spans="2:14" x14ac:dyDescent="0.3">
      <c r="B16" t="str">
        <v>SQ02703</v>
      </c>
      <c r="C16" t="str">
        <v>Deepit</v>
      </c>
      <c r="D16" t="str">
        <v>Ranjana</v>
      </c>
      <c r="E16" t="str">
        <v>Female</v>
      </c>
      <c r="F16" t="str">
        <v>Marketing</v>
      </c>
      <c r="G16" s="64">
        <v>104903.79</v>
      </c>
      <c r="H16" t="str">
        <v>Above 100k</v>
      </c>
      <c r="I16" s="28">
        <v>43649</v>
      </c>
      <c r="J16">
        <v>1</v>
      </c>
      <c r="K16" t="str">
        <v>Permanent</v>
      </c>
      <c r="L16" t="str">
        <v>Chennai, India</v>
      </c>
      <c r="M16" s="65">
        <v>4.9726027397260273</v>
      </c>
      <c r="N16" t="str">
        <v>Full time</v>
      </c>
    </row>
    <row r="17" spans="2:14" x14ac:dyDescent="0.3">
      <c r="B17" t="str">
        <v>PR03886</v>
      </c>
      <c r="C17" t="str">
        <v>Edd</v>
      </c>
      <c r="D17" t="str">
        <v>MacKnockiter</v>
      </c>
      <c r="E17" t="str">
        <v>Male</v>
      </c>
      <c r="F17" t="str">
        <v>Accounting</v>
      </c>
      <c r="G17" s="64">
        <v>119022.49</v>
      </c>
      <c r="H17" t="str">
        <v>Above 100k</v>
      </c>
      <c r="I17" s="28">
        <v>44431</v>
      </c>
      <c r="J17">
        <v>1</v>
      </c>
      <c r="K17" t="str">
        <v>Permanent</v>
      </c>
      <c r="L17" t="str">
        <v>Auckland, New Zealand</v>
      </c>
      <c r="M17" s="65">
        <v>2.8301369863013699</v>
      </c>
      <c r="N17" t="str">
        <v>Full time</v>
      </c>
    </row>
    <row r="18" spans="2:14" x14ac:dyDescent="0.3">
      <c r="B18" t="str">
        <v>SQ03491</v>
      </c>
      <c r="C18" t="str">
        <v>Freda</v>
      </c>
      <c r="D18" t="str">
        <v>Legan</v>
      </c>
      <c r="E18" t="str">
        <v>Female</v>
      </c>
      <c r="F18" t="str">
        <v>Sales</v>
      </c>
      <c r="G18" s="64">
        <v>102129.37</v>
      </c>
      <c r="H18" t="str">
        <v>Above 100k</v>
      </c>
      <c r="I18" s="28">
        <v>44396</v>
      </c>
      <c r="J18">
        <v>1</v>
      </c>
      <c r="K18" t="str">
        <v>Permanent</v>
      </c>
      <c r="L18" t="str">
        <v>Columbus, USA</v>
      </c>
      <c r="M18" s="65">
        <v>2.9260273972602739</v>
      </c>
      <c r="N18" t="str">
        <v>Full time</v>
      </c>
    </row>
    <row r="19" spans="2:14" x14ac:dyDescent="0.3">
      <c r="B19" t="str">
        <v>VT01762</v>
      </c>
      <c r="C19" t="str">
        <v>Geena</v>
      </c>
      <c r="D19" t="str">
        <v>Raghavanpillai</v>
      </c>
      <c r="E19" t="str">
        <v>Male</v>
      </c>
      <c r="F19" t="str">
        <v>Accounting</v>
      </c>
      <c r="G19" s="64">
        <v>102515.81</v>
      </c>
      <c r="H19" t="str">
        <v>Above 100k</v>
      </c>
      <c r="I19" s="28">
        <v>43902</v>
      </c>
      <c r="J19">
        <v>1</v>
      </c>
      <c r="K19" t="str">
        <v>Fixed Term</v>
      </c>
      <c r="L19" t="str">
        <v>Chennai, India</v>
      </c>
      <c r="M19" s="65">
        <v>4.279452054794521</v>
      </c>
      <c r="N19" t="str">
        <v>Full time</v>
      </c>
    </row>
    <row r="20" spans="2:14" x14ac:dyDescent="0.3">
      <c r="B20" t="str">
        <v>PR02208</v>
      </c>
      <c r="C20" t="str">
        <v>Gowri</v>
      </c>
      <c r="D20" t="str">
        <v>Sankar</v>
      </c>
      <c r="E20" t="str">
        <v>Female</v>
      </c>
      <c r="F20" t="str">
        <v>Training</v>
      </c>
      <c r="G20" s="64">
        <v>102934.09</v>
      </c>
      <c r="H20" t="str">
        <v>Above 100k</v>
      </c>
      <c r="I20" s="28">
        <v>44315</v>
      </c>
      <c r="J20">
        <v>1</v>
      </c>
      <c r="K20" t="str">
        <v>Permanent</v>
      </c>
      <c r="L20" t="str">
        <v>Hyderabad, India</v>
      </c>
      <c r="M20" s="65">
        <v>3.1479452054794521</v>
      </c>
      <c r="N20" t="str">
        <v>Full time</v>
      </c>
    </row>
    <row r="21" spans="2:14" x14ac:dyDescent="0.3">
      <c r="B21" t="str">
        <v>SQ02624</v>
      </c>
      <c r="C21" t="str">
        <v>Gwenneth</v>
      </c>
      <c r="D21" t="str">
        <v>Fealey</v>
      </c>
      <c r="E21" t="str">
        <v>Female</v>
      </c>
      <c r="F21" t="str">
        <v>Engineering</v>
      </c>
      <c r="G21" s="64">
        <v>114772.32</v>
      </c>
      <c r="H21" t="str">
        <v>Above 100k</v>
      </c>
      <c r="I21" s="28">
        <v>44251</v>
      </c>
      <c r="J21">
        <v>1</v>
      </c>
      <c r="K21" t="str">
        <v>Permanent</v>
      </c>
      <c r="L21" t="str">
        <v>Columbus, USA</v>
      </c>
      <c r="M21" s="65">
        <v>3.3232876712328765</v>
      </c>
      <c r="N21" t="str">
        <v>Full time</v>
      </c>
    </row>
    <row r="22" spans="2:14" x14ac:dyDescent="0.3">
      <c r="B22" t="str">
        <v>PR00746</v>
      </c>
      <c r="C22" t="str">
        <v>Hogan</v>
      </c>
      <c r="D22" t="str">
        <v>Iles</v>
      </c>
      <c r="E22" t="str">
        <v>Female</v>
      </c>
      <c r="F22" t="str">
        <v>Accounting</v>
      </c>
      <c r="G22" s="64">
        <v>114177.23</v>
      </c>
      <c r="H22" t="str">
        <v>Above 100k</v>
      </c>
      <c r="I22" s="28">
        <v>43908</v>
      </c>
      <c r="J22">
        <v>1</v>
      </c>
      <c r="K22" t="str">
        <v>Permanent</v>
      </c>
      <c r="L22" t="str">
        <v>Wellington, New Zealand</v>
      </c>
      <c r="M22" s="65">
        <v>4.2630136986301368</v>
      </c>
      <c r="N22" t="str">
        <v>Full time</v>
      </c>
    </row>
    <row r="23" spans="2:14" x14ac:dyDescent="0.3">
      <c r="B23" t="str">
        <v>VT04350</v>
      </c>
      <c r="C23" t="str">
        <v>Kulbhushan</v>
      </c>
      <c r="D23" t="str">
        <v>Moorthy</v>
      </c>
      <c r="E23" t="str">
        <v>Male</v>
      </c>
      <c r="F23" t="str">
        <v>Business Development</v>
      </c>
      <c r="G23" s="64">
        <v>106400.02</v>
      </c>
      <c r="H23" t="str">
        <v>Above 100k</v>
      </c>
      <c r="I23" s="28">
        <v>44021</v>
      </c>
      <c r="J23">
        <v>1</v>
      </c>
      <c r="K23" t="str">
        <v>Temporary</v>
      </c>
      <c r="L23" t="str">
        <v>Chennai, India</v>
      </c>
      <c r="M23" s="65">
        <v>3.9534246575342467</v>
      </c>
      <c r="N23" t="str">
        <v>Full time</v>
      </c>
    </row>
    <row r="24" spans="2:14" x14ac:dyDescent="0.3">
      <c r="B24" t="str">
        <v>VT04350</v>
      </c>
      <c r="C24" t="str">
        <v>Lalit</v>
      </c>
      <c r="D24" t="str">
        <v>Kothari</v>
      </c>
      <c r="E24" t="str">
        <v>Male</v>
      </c>
      <c r="F24" t="str">
        <v>Business Development</v>
      </c>
      <c r="G24" s="64">
        <v>106400.02</v>
      </c>
      <c r="H24" t="str">
        <v>Above 100k</v>
      </c>
      <c r="I24" s="28">
        <v>44021</v>
      </c>
      <c r="J24">
        <v>1</v>
      </c>
      <c r="K24" t="str">
        <v>Temporary</v>
      </c>
      <c r="L24" t="str">
        <v>Chennai, India</v>
      </c>
      <c r="M24" s="65">
        <v>3.9534246575342467</v>
      </c>
      <c r="N24" t="str">
        <v>Full time</v>
      </c>
    </row>
    <row r="25" spans="2:14" x14ac:dyDescent="0.3">
      <c r="B25" t="str">
        <v>VT01893</v>
      </c>
      <c r="C25" t="str">
        <v>Lindy</v>
      </c>
      <c r="D25" t="str">
        <v>Guillet</v>
      </c>
      <c r="E25" t="str">
        <v>Male</v>
      </c>
      <c r="F25" t="str">
        <v>Training</v>
      </c>
      <c r="G25" s="64">
        <v>112778.28</v>
      </c>
      <c r="H25" t="str">
        <v>Above 100k</v>
      </c>
      <c r="I25" s="28">
        <v>43250</v>
      </c>
      <c r="J25">
        <v>1</v>
      </c>
      <c r="K25" t="str">
        <v>Fixed Term</v>
      </c>
      <c r="L25" t="str">
        <v>Remote</v>
      </c>
      <c r="M25" s="65">
        <v>6.065753424657534</v>
      </c>
      <c r="N25" t="str">
        <v>Full time</v>
      </c>
    </row>
    <row r="26" spans="2:14" x14ac:dyDescent="0.3">
      <c r="B26" t="str">
        <v>VT01893</v>
      </c>
      <c r="C26" t="str">
        <v>Lindy</v>
      </c>
      <c r="D26" t="str">
        <v>Guillet</v>
      </c>
      <c r="E26" t="str">
        <v>Male</v>
      </c>
      <c r="F26" t="str">
        <v>Training</v>
      </c>
      <c r="G26" s="64">
        <v>112778.28</v>
      </c>
      <c r="H26" t="str">
        <v>Above 100k</v>
      </c>
      <c r="I26" s="28">
        <v>43250</v>
      </c>
      <c r="J26">
        <v>1</v>
      </c>
      <c r="K26" t="str">
        <v>Fixed Term</v>
      </c>
      <c r="L26" t="str">
        <v>Remote</v>
      </c>
      <c r="M26" s="65">
        <v>6.065753424657534</v>
      </c>
      <c r="N26" t="str">
        <v>Full time</v>
      </c>
    </row>
    <row r="27" spans="2:14" x14ac:dyDescent="0.3">
      <c r="B27" t="str">
        <v>VT04028</v>
      </c>
      <c r="C27" t="str">
        <v>Michale</v>
      </c>
      <c r="D27" t="str">
        <v>Rolf</v>
      </c>
      <c r="E27" t="str">
        <v>Male</v>
      </c>
      <c r="F27" t="str">
        <v>Services</v>
      </c>
      <c r="G27" s="64">
        <v>111815.49</v>
      </c>
      <c r="H27" t="str">
        <v>Above 100k</v>
      </c>
      <c r="I27" s="28">
        <v>43895</v>
      </c>
      <c r="J27">
        <v>0.7</v>
      </c>
      <c r="K27" t="str">
        <v>Temporary</v>
      </c>
      <c r="L27" t="str">
        <v>Remote</v>
      </c>
      <c r="M27" s="65">
        <v>4.2986301369863016</v>
      </c>
      <c r="N27" t="str">
        <v>Part time</v>
      </c>
    </row>
    <row r="28" spans="2:14" x14ac:dyDescent="0.3">
      <c r="B28" t="str">
        <v>VT04028</v>
      </c>
      <c r="C28" t="str">
        <v>Michale</v>
      </c>
      <c r="D28" t="str">
        <v>Rolf</v>
      </c>
      <c r="E28" t="str">
        <v>Male</v>
      </c>
      <c r="F28" t="str">
        <v>Services</v>
      </c>
      <c r="G28" s="64">
        <v>111815.49</v>
      </c>
      <c r="H28" t="str">
        <v>Above 100k</v>
      </c>
      <c r="I28" s="28">
        <v>43895</v>
      </c>
      <c r="J28">
        <v>0.7</v>
      </c>
      <c r="K28" t="str">
        <v>Temporary</v>
      </c>
      <c r="L28" t="str">
        <v>Remote</v>
      </c>
      <c r="M28" s="65">
        <v>4.2986301369863016</v>
      </c>
      <c r="N28" t="str">
        <v>Part time</v>
      </c>
    </row>
    <row r="29" spans="2:14" x14ac:dyDescent="0.3">
      <c r="B29" t="str">
        <v>SQ04612</v>
      </c>
      <c r="C29" t="str">
        <v>Mick</v>
      </c>
      <c r="D29" t="str">
        <v>Spraberry</v>
      </c>
      <c r="E29" t="str">
        <v>Female</v>
      </c>
      <c r="F29" t="str">
        <v>Services</v>
      </c>
      <c r="G29" s="64">
        <v>120000</v>
      </c>
      <c r="H29" t="str">
        <v>Above 100k</v>
      </c>
      <c r="I29" s="28">
        <v>43902</v>
      </c>
      <c r="J29">
        <v>0.9</v>
      </c>
      <c r="K29" t="str">
        <v>Permanent</v>
      </c>
      <c r="L29" t="str">
        <v>Remote</v>
      </c>
      <c r="M29" s="65">
        <v>4.279452054794521</v>
      </c>
      <c r="N29" t="str">
        <v>Part time</v>
      </c>
    </row>
    <row r="30" spans="2:14" x14ac:dyDescent="0.3">
      <c r="B30" t="str">
        <v>PR00147</v>
      </c>
      <c r="C30" t="str">
        <v>Minerva</v>
      </c>
      <c r="D30" t="str">
        <v>Ricardot</v>
      </c>
      <c r="E30" t="str">
        <v>Male</v>
      </c>
      <c r="F30" t="str">
        <v>Engineering</v>
      </c>
      <c r="G30" s="64">
        <v>120000</v>
      </c>
      <c r="H30" t="str">
        <v>Above 100k</v>
      </c>
      <c r="I30" s="28">
        <v>43416</v>
      </c>
      <c r="J30">
        <v>1</v>
      </c>
      <c r="K30" t="str">
        <v>Permanent</v>
      </c>
      <c r="L30" t="str">
        <v>Remote</v>
      </c>
      <c r="M30" s="65">
        <v>5.6109589041095891</v>
      </c>
      <c r="N30" t="str">
        <v>Full time</v>
      </c>
    </row>
    <row r="31" spans="2:14" x14ac:dyDescent="0.3">
      <c r="B31" t="str">
        <v>PR01159</v>
      </c>
      <c r="C31" t="str">
        <v>Mollie</v>
      </c>
      <c r="D31" t="str">
        <v>Hanway</v>
      </c>
      <c r="E31" t="str">
        <v>Male</v>
      </c>
      <c r="F31" t="str">
        <v>Engineering</v>
      </c>
      <c r="G31" s="64">
        <v>112645.99</v>
      </c>
      <c r="H31" t="str">
        <v>Above 100k</v>
      </c>
      <c r="I31" s="28">
        <v>43759</v>
      </c>
      <c r="J31">
        <v>0.6</v>
      </c>
      <c r="K31" t="str">
        <v>Permanent</v>
      </c>
      <c r="L31" t="str">
        <v>Seattle, USA</v>
      </c>
      <c r="M31" s="65">
        <v>4.6712328767123283</v>
      </c>
      <c r="N31" t="str">
        <v>Part time</v>
      </c>
    </row>
    <row r="32" spans="2:14" x14ac:dyDescent="0.3">
      <c r="B32" t="str">
        <v>SQ04603</v>
      </c>
      <c r="C32" t="str">
        <v>Natalee</v>
      </c>
      <c r="D32" t="str">
        <v>Craiker</v>
      </c>
      <c r="E32" t="str">
        <v>Male</v>
      </c>
      <c r="F32" t="str">
        <v>Product Management</v>
      </c>
      <c r="G32" s="64">
        <v>111229.47</v>
      </c>
      <c r="H32" t="str">
        <v>Above 100k</v>
      </c>
      <c r="I32" s="28">
        <v>43402</v>
      </c>
      <c r="J32">
        <v>1</v>
      </c>
      <c r="K32" t="str">
        <v>Permanent</v>
      </c>
      <c r="L32" t="str">
        <v>Remote</v>
      </c>
      <c r="M32" s="65">
        <v>5.6493150684931503</v>
      </c>
      <c r="N32" t="str">
        <v>Full time</v>
      </c>
    </row>
    <row r="33" spans="2:14" x14ac:dyDescent="0.3">
      <c r="B33" t="str">
        <v>VT04681</v>
      </c>
      <c r="C33" t="str">
        <v>Nickolai</v>
      </c>
      <c r="D33" t="str">
        <v>Artin</v>
      </c>
      <c r="E33" t="str">
        <v>Female</v>
      </c>
      <c r="F33" t="str">
        <v>Product Management</v>
      </c>
      <c r="G33" s="64">
        <v>110906.35</v>
      </c>
      <c r="H33" t="str">
        <v>Above 100k</v>
      </c>
      <c r="I33" s="28">
        <v>43434</v>
      </c>
      <c r="J33">
        <v>1</v>
      </c>
      <c r="K33" t="str">
        <v>Temporary</v>
      </c>
      <c r="L33" t="str">
        <v>Wellington, New Zealand</v>
      </c>
      <c r="M33" s="65">
        <v>5.5616438356164384</v>
      </c>
      <c r="N33" t="str">
        <v>Full time</v>
      </c>
    </row>
    <row r="34" spans="2:14" x14ac:dyDescent="0.3">
      <c r="B34" t="str">
        <v>VT04093</v>
      </c>
      <c r="C34" t="str">
        <v>Prasanna</v>
      </c>
      <c r="D34" t="str">
        <v>Lakshmi</v>
      </c>
      <c r="E34" t="str">
        <v>Female</v>
      </c>
      <c r="F34" t="str">
        <v>Training</v>
      </c>
      <c r="G34" s="64">
        <v>116767.63</v>
      </c>
      <c r="H34" t="str">
        <v>Above 100k</v>
      </c>
      <c r="I34" s="28">
        <v>43949</v>
      </c>
      <c r="J34">
        <v>0.4</v>
      </c>
      <c r="K34" t="str">
        <v>Temporary</v>
      </c>
      <c r="L34" t="str">
        <v>Chennai, India</v>
      </c>
      <c r="M34" s="65">
        <v>4.1506849315068495</v>
      </c>
      <c r="N34" t="str">
        <v>Part time</v>
      </c>
    </row>
    <row r="35" spans="2:14" x14ac:dyDescent="0.3">
      <c r="B35" t="str">
        <v>PR02010</v>
      </c>
      <c r="C35" t="str">
        <v>Prerana</v>
      </c>
      <c r="D35" t="str">
        <v>Nishita</v>
      </c>
      <c r="E35" t="str">
        <v>Male</v>
      </c>
      <c r="F35" t="str">
        <v>Product Management</v>
      </c>
      <c r="G35" s="64">
        <v>115191.38</v>
      </c>
      <c r="H35" t="str">
        <v>Above 100k</v>
      </c>
      <c r="I35" s="28">
        <v>44004</v>
      </c>
      <c r="J35">
        <v>1</v>
      </c>
      <c r="K35" t="str">
        <v>Permanent</v>
      </c>
      <c r="L35" t="str">
        <v>Hyderabad, India</v>
      </c>
      <c r="M35" s="65">
        <v>4</v>
      </c>
      <c r="N35" t="str">
        <v>Full time</v>
      </c>
    </row>
    <row r="36" spans="2:14" x14ac:dyDescent="0.3">
      <c r="B36" t="str">
        <v>TN00579</v>
      </c>
      <c r="C36" t="str">
        <v>Rafaelita</v>
      </c>
      <c r="D36" t="str">
        <v>Blaksland</v>
      </c>
      <c r="E36" t="str">
        <v>Female</v>
      </c>
      <c r="F36" t="str">
        <v>Services</v>
      </c>
      <c r="G36" s="64">
        <v>109163.39</v>
      </c>
      <c r="H36" t="str">
        <v>Above 100k</v>
      </c>
      <c r="I36" s="28">
        <v>44019</v>
      </c>
      <c r="J36">
        <v>0.8</v>
      </c>
      <c r="K36" t="str">
        <v>Permanent</v>
      </c>
      <c r="L36" t="str">
        <v>Seattle, USA</v>
      </c>
      <c r="M36" s="65">
        <v>3.9589041095890409</v>
      </c>
      <c r="N36" t="str">
        <v>Part time</v>
      </c>
    </row>
    <row r="37" spans="2:14" x14ac:dyDescent="0.3">
      <c r="B37" t="str">
        <v>SQ03476</v>
      </c>
      <c r="C37" t="str">
        <v>Ramalingam</v>
      </c>
      <c r="D37" t="str">
        <v>Kothapeta</v>
      </c>
      <c r="E37" t="str">
        <v>Need to check</v>
      </c>
      <c r="F37" t="str">
        <v>Accounting</v>
      </c>
      <c r="G37" s="64">
        <v>107107.6</v>
      </c>
      <c r="H37" t="str">
        <v>Above 100k</v>
      </c>
      <c r="I37" s="28">
        <v>43325</v>
      </c>
      <c r="J37">
        <v>0.9</v>
      </c>
      <c r="K37" t="str">
        <v>Permanent</v>
      </c>
      <c r="L37" t="str">
        <v>Chennai, India</v>
      </c>
      <c r="M37" s="65">
        <v>5.86027397260274</v>
      </c>
      <c r="N37" t="str">
        <v>Part time</v>
      </c>
    </row>
    <row r="38" spans="2:14" x14ac:dyDescent="0.3">
      <c r="B38" t="str">
        <v>SQ03733</v>
      </c>
      <c r="C38" t="str">
        <v>Revkah</v>
      </c>
      <c r="D38" t="str">
        <v>Antonacci</v>
      </c>
      <c r="E38" t="str">
        <v>Male</v>
      </c>
      <c r="F38" t="str">
        <v>Engineering</v>
      </c>
      <c r="G38" s="64">
        <v>109143.17</v>
      </c>
      <c r="H38" t="str">
        <v>Above 100k</v>
      </c>
      <c r="I38" s="28">
        <v>43945</v>
      </c>
      <c r="J38">
        <v>1</v>
      </c>
      <c r="K38" t="str">
        <v>Permanent</v>
      </c>
      <c r="L38" t="str">
        <v>Wellington, New Zealand</v>
      </c>
      <c r="M38" s="65">
        <v>4.161643835616438</v>
      </c>
      <c r="N38" t="str">
        <v>Full time</v>
      </c>
    </row>
    <row r="39" spans="2:14" x14ac:dyDescent="0.3">
      <c r="B39" t="str">
        <v>SQ03387</v>
      </c>
      <c r="C39" t="str">
        <v>Robinia</v>
      </c>
      <c r="D39" t="str">
        <v>Scholling</v>
      </c>
      <c r="E39" t="str">
        <v>Female</v>
      </c>
      <c r="F39" t="str">
        <v>Human Resources</v>
      </c>
      <c r="G39" s="64">
        <v>100731.95</v>
      </c>
      <c r="H39" t="str">
        <v>Above 100k</v>
      </c>
      <c r="I39" s="28">
        <v>43936</v>
      </c>
      <c r="J39">
        <v>1</v>
      </c>
      <c r="K39" t="str">
        <v>Permanent</v>
      </c>
      <c r="L39" t="str">
        <v>Auckland, New Zealand</v>
      </c>
      <c r="M39" s="65">
        <v>4.1863013698630134</v>
      </c>
      <c r="N39" t="str">
        <v>Full time</v>
      </c>
    </row>
    <row r="40" spans="2:14" x14ac:dyDescent="0.3">
      <c r="B40" t="str">
        <v>TN04246</v>
      </c>
      <c r="C40" t="str">
        <v>Shaylyn</v>
      </c>
      <c r="D40" t="str">
        <v>Ransbury</v>
      </c>
      <c r="E40" t="str">
        <v>Female</v>
      </c>
      <c r="F40" t="str">
        <v>Support</v>
      </c>
      <c r="G40" s="64">
        <v>100371.31</v>
      </c>
      <c r="H40" t="str">
        <v>Above 100k</v>
      </c>
      <c r="I40" s="28">
        <v>44067</v>
      </c>
      <c r="J40">
        <v>0.8</v>
      </c>
      <c r="K40" t="str">
        <v>Fixed Term</v>
      </c>
      <c r="L40" t="str">
        <v>Auckland, New Zealand</v>
      </c>
      <c r="M40" s="65">
        <v>3.8273972602739725</v>
      </c>
      <c r="N40" t="str">
        <v>Part time</v>
      </c>
    </row>
    <row r="41" spans="2:14" x14ac:dyDescent="0.3">
      <c r="B41" t="str">
        <v>VT02801</v>
      </c>
      <c r="C41" t="str">
        <v>Shellysheldon</v>
      </c>
      <c r="D41" t="str">
        <v>Mahady</v>
      </c>
      <c r="E41" t="str">
        <v>Male</v>
      </c>
      <c r="F41" t="str">
        <v>Training</v>
      </c>
      <c r="G41" s="64">
        <v>114691.03</v>
      </c>
      <c r="H41" t="str">
        <v>Above 100k</v>
      </c>
      <c r="I41" s="28">
        <v>44039</v>
      </c>
      <c r="J41">
        <v>1</v>
      </c>
      <c r="K41" t="str">
        <v>Temporary</v>
      </c>
      <c r="L41" t="str">
        <v>Wellington, New Zealand</v>
      </c>
      <c r="M41" s="65">
        <v>3.904109589041096</v>
      </c>
      <c r="N41" t="str">
        <v>Full time</v>
      </c>
    </row>
    <row r="42" spans="2:14" x14ac:dyDescent="0.3">
      <c r="B42" t="str">
        <v>SQ02174</v>
      </c>
      <c r="C42" t="str">
        <v>Sidoney</v>
      </c>
      <c r="D42" t="str">
        <v>Yitzhok</v>
      </c>
      <c r="E42" t="str">
        <v>Female</v>
      </c>
      <c r="F42" t="str">
        <v>Engineering</v>
      </c>
      <c r="G42" s="64">
        <v>118442.54</v>
      </c>
      <c r="H42" t="str">
        <v>Above 100k</v>
      </c>
      <c r="I42" s="28">
        <v>44193</v>
      </c>
      <c r="J42">
        <v>1</v>
      </c>
      <c r="K42" t="str">
        <v>Permanent</v>
      </c>
      <c r="L42" t="str">
        <v>Auckland, New Zealand</v>
      </c>
      <c r="M42" s="65">
        <v>3.4821917808219176</v>
      </c>
      <c r="N42" t="str">
        <v>Full time</v>
      </c>
    </row>
    <row r="43" spans="2:14" x14ac:dyDescent="0.3">
      <c r="B43" t="str">
        <v>TN04058</v>
      </c>
      <c r="C43" t="str">
        <v>Subbarao</v>
      </c>
      <c r="D43" t="str">
        <v>Malladi</v>
      </c>
      <c r="E43" t="str">
        <v>Male</v>
      </c>
      <c r="F43" t="str">
        <v>Product Management</v>
      </c>
      <c r="G43" s="64">
        <v>106775.14</v>
      </c>
      <c r="H43" t="str">
        <v>Above 100k</v>
      </c>
      <c r="I43" s="28">
        <v>43563</v>
      </c>
      <c r="J43">
        <v>1</v>
      </c>
      <c r="K43" t="str">
        <v>Fixed Term</v>
      </c>
      <c r="L43" t="str">
        <v>Hyderabad, India</v>
      </c>
      <c r="M43" s="65">
        <v>5.2082191780821914</v>
      </c>
      <c r="N43" t="str">
        <v>Full time</v>
      </c>
    </row>
    <row r="44" spans="2:14" x14ac:dyDescent="0.3">
      <c r="B44" t="str">
        <v>SQ03116</v>
      </c>
      <c r="C44" t="str">
        <v>Syd</v>
      </c>
      <c r="D44" t="str">
        <v>Fearn</v>
      </c>
      <c r="E44" t="str">
        <v>Male</v>
      </c>
      <c r="F44" t="str">
        <v>Engineering</v>
      </c>
      <c r="G44" s="64">
        <v>108872.77</v>
      </c>
      <c r="H44" t="str">
        <v>Above 100k</v>
      </c>
      <c r="I44" s="28">
        <v>43521</v>
      </c>
      <c r="J44">
        <v>1</v>
      </c>
      <c r="K44" t="str">
        <v>Permanent</v>
      </c>
      <c r="L44" t="str">
        <v>Remote</v>
      </c>
      <c r="M44" s="65">
        <v>5.3232876712328769</v>
      </c>
      <c r="N44" t="str">
        <v>Full time</v>
      </c>
    </row>
    <row r="45" spans="2:14" x14ac:dyDescent="0.3">
      <c r="B45" t="str">
        <v>VT04552</v>
      </c>
      <c r="C45" t="str">
        <v>Theresita</v>
      </c>
      <c r="D45" t="str">
        <v>Chasmer</v>
      </c>
      <c r="E45" t="str">
        <v>Female</v>
      </c>
      <c r="F45" t="str">
        <v>Product Management</v>
      </c>
      <c r="G45" s="64">
        <v>106665.67</v>
      </c>
      <c r="H45" t="str">
        <v>Above 100k</v>
      </c>
      <c r="I45" s="28">
        <v>43311</v>
      </c>
      <c r="J45">
        <v>1</v>
      </c>
      <c r="K45" t="str">
        <v>Temporary</v>
      </c>
      <c r="L45" t="str">
        <v>Columbus, USA</v>
      </c>
      <c r="M45" s="65">
        <v>5.8986301369863012</v>
      </c>
      <c r="N45" t="str">
        <v>Full time</v>
      </c>
    </row>
    <row r="46" spans="2:14" x14ac:dyDescent="0.3">
      <c r="B46" t="str">
        <v>TN04740</v>
      </c>
      <c r="C46" t="str">
        <v>Tristam</v>
      </c>
      <c r="D46" t="str">
        <v>Cuming</v>
      </c>
      <c r="E46" t="str">
        <v>Female</v>
      </c>
      <c r="F46" t="str">
        <v>Support</v>
      </c>
      <c r="G46" s="64">
        <v>104038.9</v>
      </c>
      <c r="H46" t="str">
        <v>Above 100k</v>
      </c>
      <c r="I46" s="28">
        <v>43815</v>
      </c>
      <c r="J46">
        <v>1</v>
      </c>
      <c r="K46" t="str">
        <v>Fixed Term</v>
      </c>
      <c r="L46" t="str">
        <v>Remote</v>
      </c>
      <c r="M46" s="65">
        <v>4.5178082191780824</v>
      </c>
      <c r="N46" t="str">
        <v>Full time</v>
      </c>
    </row>
    <row r="47" spans="2:14" x14ac:dyDescent="0.3">
      <c r="B47" t="str">
        <v>TN04058</v>
      </c>
      <c r="C47" t="str">
        <v>Vasu</v>
      </c>
      <c r="D47" t="str">
        <v>Nandin</v>
      </c>
      <c r="E47" t="str">
        <v>Male</v>
      </c>
      <c r="F47" t="str">
        <v>Product Management</v>
      </c>
      <c r="G47" s="64">
        <v>106775.14</v>
      </c>
      <c r="H47" t="str">
        <v>Above 100k</v>
      </c>
      <c r="I47" s="28">
        <v>43563</v>
      </c>
      <c r="J47">
        <v>1</v>
      </c>
      <c r="K47" t="str">
        <v>Fixed Term</v>
      </c>
      <c r="L47" t="str">
        <v>Hyderabad, India</v>
      </c>
      <c r="M47" s="65">
        <v>5.2082191780821914</v>
      </c>
      <c r="N47" t="str">
        <v>Full time</v>
      </c>
    </row>
    <row r="48" spans="2:14" x14ac:dyDescent="0.3">
      <c r="B48" t="str">
        <v>SQ01620</v>
      </c>
      <c r="C48" t="str">
        <v>Westbrook</v>
      </c>
      <c r="D48" t="str">
        <v>Brandino</v>
      </c>
      <c r="E48" t="str">
        <v>Male</v>
      </c>
      <c r="F48" t="str">
        <v>Legal</v>
      </c>
      <c r="G48" s="64">
        <v>113616.23</v>
      </c>
      <c r="H48" t="str">
        <v>Above 100k</v>
      </c>
      <c r="I48" s="28">
        <v>43255</v>
      </c>
      <c r="J48">
        <v>1</v>
      </c>
      <c r="K48" t="str">
        <v>Permanent</v>
      </c>
      <c r="L48" t="str">
        <v>Remote</v>
      </c>
      <c r="M48" s="65">
        <v>6.0520547945205481</v>
      </c>
      <c r="N48" t="str">
        <v>Full time</v>
      </c>
    </row>
    <row r="49" spans="2:14" x14ac:dyDescent="0.3">
      <c r="B49" t="str">
        <v>PR04601</v>
      </c>
      <c r="C49" t="str">
        <v>Yedukondalu</v>
      </c>
      <c r="D49" t="str">
        <v>Panditula</v>
      </c>
      <c r="E49" t="str">
        <v>Need to check</v>
      </c>
      <c r="F49" t="str">
        <v>Support</v>
      </c>
      <c r="G49" s="64">
        <v>104802.63</v>
      </c>
      <c r="H49" t="str">
        <v>Above 100k</v>
      </c>
      <c r="I49" s="28">
        <v>44502</v>
      </c>
      <c r="J49">
        <v>1</v>
      </c>
      <c r="K49" t="str">
        <v>Permanent</v>
      </c>
      <c r="L49" t="str">
        <v>Hyderabad, India</v>
      </c>
      <c r="M49" s="65">
        <v>2.6356164383561644</v>
      </c>
      <c r="N49" t="str">
        <v>Full time</v>
      </c>
    </row>
    <row r="50" spans="2:14" x14ac:dyDescent="0.3">
      <c r="G50" s="64"/>
      <c r="I50" s="28"/>
      <c r="M50" s="65"/>
    </row>
    <row r="51" spans="2:14" x14ac:dyDescent="0.3">
      <c r="G51" s="64"/>
      <c r="I51" s="28"/>
      <c r="M51" s="65"/>
    </row>
    <row r="52" spans="2:14" x14ac:dyDescent="0.3">
      <c r="G52" s="64"/>
      <c r="I52" s="28"/>
      <c r="M52" s="65"/>
    </row>
    <row r="53" spans="2:14" x14ac:dyDescent="0.3">
      <c r="G53" s="64"/>
      <c r="I53" s="28"/>
      <c r="M53" s="65"/>
    </row>
    <row r="54" spans="2:14" x14ac:dyDescent="0.3">
      <c r="G54" s="64"/>
      <c r="I54" s="28"/>
      <c r="M54" s="65"/>
    </row>
    <row r="55" spans="2:14" x14ac:dyDescent="0.3">
      <c r="G55" s="64"/>
      <c r="I55" s="28"/>
      <c r="M55" s="65"/>
    </row>
    <row r="56" spans="2:14" x14ac:dyDescent="0.3">
      <c r="G56" s="64"/>
      <c r="I56" s="28"/>
      <c r="M56" s="65"/>
    </row>
    <row r="57" spans="2:14" x14ac:dyDescent="0.3">
      <c r="G57" s="64"/>
      <c r="I57" s="28"/>
    </row>
    <row r="58" spans="2:14" x14ac:dyDescent="0.3">
      <c r="I58" s="28"/>
    </row>
    <row r="59" spans="2:14" x14ac:dyDescent="0.3">
      <c r="I59" s="28"/>
    </row>
    <row r="60" spans="2:14" x14ac:dyDescent="0.3">
      <c r="I60" s="28"/>
    </row>
    <row r="61" spans="2:14" x14ac:dyDescent="0.3">
      <c r="I61" s="28"/>
    </row>
    <row r="62" spans="2:14" x14ac:dyDescent="0.3">
      <c r="I62" s="28"/>
    </row>
    <row r="63" spans="2:14" x14ac:dyDescent="0.3">
      <c r="I63" s="28"/>
    </row>
    <row r="64" spans="2:14" x14ac:dyDescent="0.3">
      <c r="I64" s="28"/>
    </row>
    <row r="65" spans="2:14" x14ac:dyDescent="0.3">
      <c r="I65" s="28"/>
    </row>
    <row r="66" spans="2:14" x14ac:dyDescent="0.3">
      <c r="I66" s="1">
        <v>3</v>
      </c>
    </row>
    <row r="67" spans="2:14" x14ac:dyDescent="0.3">
      <c r="B67" s="25" t="s">
        <v>766</v>
      </c>
      <c r="F67" s="30">
        <v>100000</v>
      </c>
      <c r="I67" s="25" t="s">
        <v>768</v>
      </c>
    </row>
    <row r="68" spans="2:14" x14ac:dyDescent="0.3">
      <c r="B68" t="s">
        <v>767</v>
      </c>
      <c r="C68" t="s">
        <v>797</v>
      </c>
      <c r="G68" s="29"/>
      <c r="I68" t="s">
        <v>769</v>
      </c>
    </row>
    <row r="70" spans="2:14" x14ac:dyDescent="0.3">
      <c r="B70" s="29" t="str" cm="1">
        <f t="array" ref="B70:G70">staff[[#Headers],[Emp ID]:[Salary]]</f>
        <v>Emp ID</v>
      </c>
      <c r="C70" s="29" t="str">
        <v>First Name</v>
      </c>
      <c r="D70" s="29" t="str">
        <v>Last Name</v>
      </c>
      <c r="E70" s="29" t="str">
        <v>Gender</v>
      </c>
      <c r="F70" s="29" t="str">
        <v>Department</v>
      </c>
      <c r="G70" s="29" t="str">
        <v>Salary</v>
      </c>
      <c r="I70" s="29" t="str" cm="1">
        <f t="array" ref="I70:N70">staff[[#Headers],[Emp ID]:[Salary]]</f>
        <v>Emp ID</v>
      </c>
      <c r="J70" s="29" t="str">
        <v>First Name</v>
      </c>
      <c r="K70" s="29" t="str">
        <v>Last Name</v>
      </c>
      <c r="L70" s="29" t="str">
        <v>Gender</v>
      </c>
      <c r="M70" s="29" t="str">
        <v>Department</v>
      </c>
      <c r="N70" s="29" t="str">
        <v>Salary</v>
      </c>
    </row>
    <row r="71" spans="2:14" x14ac:dyDescent="0.3">
      <c r="B71" t="str" cm="1">
        <f t="array" ref="B71:G117">_xlfn._xlws.FILTER(staff[[Emp ID]:[Salary]],(staff[Salary]&gt;F67))</f>
        <v>VT02491</v>
      </c>
      <c r="C71" t="str">
        <v>Alexis</v>
      </c>
      <c r="D71" t="str">
        <v>Gotfrey</v>
      </c>
      <c r="E71" t="str">
        <v>Male</v>
      </c>
      <c r="F71" t="str">
        <v>Engineering</v>
      </c>
      <c r="G71">
        <v>114465.93</v>
      </c>
      <c r="I71" t="str" cm="1">
        <f t="array" ref="I71:N88">_xlfn._xlws.FILTER(staff[[Emp ID]:[Salary]],(staff[Salary]&gt;F67)*(staff[Gender]="Female"))</f>
        <v>SQ00498</v>
      </c>
      <c r="J71" t="str">
        <v>Amery</v>
      </c>
      <c r="K71" t="str">
        <v>Ofer</v>
      </c>
      <c r="L71" t="str">
        <v>Female</v>
      </c>
      <c r="M71" t="str">
        <v>Legal</v>
      </c>
      <c r="N71">
        <v>111049.84</v>
      </c>
    </row>
    <row r="72" spans="2:14" x14ac:dyDescent="0.3">
      <c r="B72" t="str">
        <v>VT03421</v>
      </c>
      <c r="C72" t="str">
        <v>Alic</v>
      </c>
      <c r="D72" t="str">
        <v>Bagg</v>
      </c>
      <c r="E72" t="str">
        <v>Male</v>
      </c>
      <c r="F72" t="str">
        <v>Legal</v>
      </c>
      <c r="G72">
        <v>113747.56</v>
      </c>
      <c r="I72" t="str">
        <v>VT01684</v>
      </c>
      <c r="J72" t="str">
        <v>Audry</v>
      </c>
      <c r="K72" t="str">
        <v>Yu</v>
      </c>
      <c r="L72" t="str">
        <v>Female</v>
      </c>
      <c r="M72" t="str">
        <v>Training</v>
      </c>
      <c r="N72">
        <v>101187.36</v>
      </c>
    </row>
    <row r="73" spans="2:14" x14ac:dyDescent="0.3">
      <c r="B73" t="str">
        <v>VT03421</v>
      </c>
      <c r="C73" t="str">
        <v>Alic</v>
      </c>
      <c r="D73" t="str">
        <v>Bagg</v>
      </c>
      <c r="E73" t="str">
        <v>Male</v>
      </c>
      <c r="F73" t="str">
        <v>Legal</v>
      </c>
      <c r="G73">
        <v>113747.56</v>
      </c>
      <c r="I73" t="str">
        <v>VT04093</v>
      </c>
      <c r="J73" t="str">
        <v>Baruna</v>
      </c>
      <c r="K73" t="str">
        <v>Ogale</v>
      </c>
      <c r="L73" t="str">
        <v>Female</v>
      </c>
      <c r="M73" t="str">
        <v>Training</v>
      </c>
      <c r="N73">
        <v>116767.63</v>
      </c>
    </row>
    <row r="74" spans="2:14" x14ac:dyDescent="0.3">
      <c r="B74" t="str">
        <v>PR02288</v>
      </c>
      <c r="C74" t="str">
        <v>Althea</v>
      </c>
      <c r="D74" t="str">
        <v>Bronger</v>
      </c>
      <c r="E74" t="str">
        <v>Male</v>
      </c>
      <c r="F74" t="str">
        <v>Product Management</v>
      </c>
      <c r="G74">
        <v>104335.03999999999</v>
      </c>
      <c r="I74" t="str">
        <v>TN01281</v>
      </c>
      <c r="J74" t="str">
        <v>Cletus</v>
      </c>
      <c r="K74" t="str">
        <v>McGarahan</v>
      </c>
      <c r="L74" t="str">
        <v>Female</v>
      </c>
      <c r="M74" t="str">
        <v>Engineering</v>
      </c>
      <c r="N74">
        <v>114425.19</v>
      </c>
    </row>
    <row r="75" spans="2:14" x14ac:dyDescent="0.3">
      <c r="B75" t="str">
        <v>SQ00498</v>
      </c>
      <c r="C75" t="str">
        <v>Amery</v>
      </c>
      <c r="D75" t="str">
        <v>Ofer</v>
      </c>
      <c r="E75" t="str">
        <v>Female</v>
      </c>
      <c r="F75" t="str">
        <v>Legal</v>
      </c>
      <c r="G75">
        <v>111049.84</v>
      </c>
      <c r="I75" t="str">
        <v>SQ02703</v>
      </c>
      <c r="J75" t="str">
        <v>Deepit</v>
      </c>
      <c r="K75" t="str">
        <v>Ranjana</v>
      </c>
      <c r="L75" t="str">
        <v>Female</v>
      </c>
      <c r="M75" t="str">
        <v>Marketing</v>
      </c>
      <c r="N75">
        <v>104903.79</v>
      </c>
    </row>
    <row r="76" spans="2:14" x14ac:dyDescent="0.3">
      <c r="B76" t="str">
        <v>SQ02035</v>
      </c>
      <c r="C76" t="str">
        <v>Anni</v>
      </c>
      <c r="D76" t="str">
        <v>Izzard</v>
      </c>
      <c r="E76" t="str">
        <v>Male</v>
      </c>
      <c r="F76" t="str">
        <v>Human Resources</v>
      </c>
      <c r="G76">
        <v>103494.94</v>
      </c>
      <c r="I76" t="str">
        <v>SQ03491</v>
      </c>
      <c r="J76" t="str">
        <v>Freda</v>
      </c>
      <c r="K76" t="str">
        <v>Legan</v>
      </c>
      <c r="L76" t="str">
        <v>Female</v>
      </c>
      <c r="M76" t="str">
        <v>Sales</v>
      </c>
      <c r="N76">
        <v>102129.37</v>
      </c>
    </row>
    <row r="77" spans="2:14" x14ac:dyDescent="0.3">
      <c r="B77" t="str">
        <v>SQ02035</v>
      </c>
      <c r="C77" t="str">
        <v>Anni</v>
      </c>
      <c r="D77" t="str">
        <v>Izzard</v>
      </c>
      <c r="E77" t="str">
        <v>Male</v>
      </c>
      <c r="F77" t="str">
        <v>Human Resources</v>
      </c>
      <c r="G77">
        <v>103494.94</v>
      </c>
      <c r="I77" t="str">
        <v>PR02208</v>
      </c>
      <c r="J77" t="str">
        <v>Gowri</v>
      </c>
      <c r="K77" t="str">
        <v>Sankar</v>
      </c>
      <c r="L77" t="str">
        <v>Female</v>
      </c>
      <c r="M77" t="str">
        <v>Training</v>
      </c>
      <c r="N77">
        <v>102934.09</v>
      </c>
    </row>
    <row r="78" spans="2:14" x14ac:dyDescent="0.3">
      <c r="B78" t="str">
        <v>VT01684</v>
      </c>
      <c r="C78" t="str">
        <v>Audry</v>
      </c>
      <c r="D78" t="str">
        <v>Yu</v>
      </c>
      <c r="E78" t="str">
        <v>Female</v>
      </c>
      <c r="F78" t="str">
        <v>Training</v>
      </c>
      <c r="G78">
        <v>101187.36</v>
      </c>
      <c r="I78" t="str">
        <v>SQ02624</v>
      </c>
      <c r="J78" t="str">
        <v>Gwenneth</v>
      </c>
      <c r="K78" t="str">
        <v>Fealey</v>
      </c>
      <c r="L78" t="str">
        <v>Female</v>
      </c>
      <c r="M78" t="str">
        <v>Engineering</v>
      </c>
      <c r="N78">
        <v>114772.32</v>
      </c>
    </row>
    <row r="79" spans="2:14" x14ac:dyDescent="0.3">
      <c r="B79" t="str">
        <v>VT04093</v>
      </c>
      <c r="C79" t="str">
        <v>Baruna</v>
      </c>
      <c r="D79" t="str">
        <v>Ogale</v>
      </c>
      <c r="E79" t="str">
        <v>Female</v>
      </c>
      <c r="F79" t="str">
        <v>Training</v>
      </c>
      <c r="G79">
        <v>116767.63</v>
      </c>
      <c r="I79" t="str">
        <v>PR00746</v>
      </c>
      <c r="J79" t="str">
        <v>Hogan</v>
      </c>
      <c r="K79" t="str">
        <v>Iles</v>
      </c>
      <c r="L79" t="str">
        <v>Female</v>
      </c>
      <c r="M79" t="str">
        <v>Accounting</v>
      </c>
      <c r="N79">
        <v>114177.23</v>
      </c>
    </row>
    <row r="80" spans="2:14" x14ac:dyDescent="0.3">
      <c r="B80" t="str">
        <v>SQ00022</v>
      </c>
      <c r="C80" t="str">
        <v>Carlin</v>
      </c>
      <c r="D80" t="str">
        <v>Demke</v>
      </c>
      <c r="E80" t="str">
        <v>Male</v>
      </c>
      <c r="F80" t="str">
        <v>Business Development</v>
      </c>
      <c r="G80">
        <v>110042.37</v>
      </c>
      <c r="I80" t="str">
        <v>SQ04612</v>
      </c>
      <c r="J80" t="str">
        <v>Mick</v>
      </c>
      <c r="K80" t="str">
        <v>Spraberry</v>
      </c>
      <c r="L80" t="str">
        <v>Female</v>
      </c>
      <c r="M80" t="str">
        <v>Services</v>
      </c>
      <c r="N80">
        <v>120000</v>
      </c>
    </row>
    <row r="81" spans="2:14" x14ac:dyDescent="0.3">
      <c r="B81" t="str">
        <v>TN01281</v>
      </c>
      <c r="C81" t="str">
        <v>Cletus</v>
      </c>
      <c r="D81" t="str">
        <v>McGarahan</v>
      </c>
      <c r="E81" t="str">
        <v>Female</v>
      </c>
      <c r="F81" t="str">
        <v>Engineering</v>
      </c>
      <c r="G81">
        <v>114425.19</v>
      </c>
      <c r="I81" t="str">
        <v>VT04681</v>
      </c>
      <c r="J81" t="str">
        <v>Nickolai</v>
      </c>
      <c r="K81" t="str">
        <v>Artin</v>
      </c>
      <c r="L81" t="str">
        <v>Female</v>
      </c>
      <c r="M81" t="str">
        <v>Product Management</v>
      </c>
      <c r="N81">
        <v>110906.35</v>
      </c>
    </row>
    <row r="82" spans="2:14" x14ac:dyDescent="0.3">
      <c r="B82" t="str">
        <v>SQ00144</v>
      </c>
      <c r="C82" t="str">
        <v>Collen</v>
      </c>
      <c r="D82" t="str">
        <v>Dunbleton</v>
      </c>
      <c r="E82" t="str">
        <v>Male</v>
      </c>
      <c r="F82" t="str">
        <v>Engineering</v>
      </c>
      <c r="G82">
        <v>118976.16</v>
      </c>
      <c r="I82" t="str">
        <v>VT04093</v>
      </c>
      <c r="J82" t="str">
        <v>Prasanna</v>
      </c>
      <c r="K82" t="str">
        <v>Lakshmi</v>
      </c>
      <c r="L82" t="str">
        <v>Female</v>
      </c>
      <c r="M82" t="str">
        <v>Training</v>
      </c>
      <c r="N82">
        <v>116767.63</v>
      </c>
    </row>
    <row r="83" spans="2:14" x14ac:dyDescent="0.3">
      <c r="B83" t="str">
        <v>SQ04665</v>
      </c>
      <c r="C83" t="str">
        <v>Collin</v>
      </c>
      <c r="D83" t="str">
        <v>Jagson</v>
      </c>
      <c r="E83" t="str">
        <v>Male</v>
      </c>
      <c r="F83" t="str">
        <v>Services</v>
      </c>
      <c r="G83">
        <v>100424.23</v>
      </c>
      <c r="I83" t="str">
        <v>TN00579</v>
      </c>
      <c r="J83" t="str">
        <v>Rafaelita</v>
      </c>
      <c r="K83" t="str">
        <v>Blaksland</v>
      </c>
      <c r="L83" t="str">
        <v>Female</v>
      </c>
      <c r="M83" t="str">
        <v>Services</v>
      </c>
      <c r="N83">
        <v>109163.39</v>
      </c>
    </row>
    <row r="84" spans="2:14" x14ac:dyDescent="0.3">
      <c r="B84" t="str">
        <v>SQ02703</v>
      </c>
      <c r="C84" t="str">
        <v>Deepit</v>
      </c>
      <c r="D84" t="str">
        <v>Ranjana</v>
      </c>
      <c r="E84" t="str">
        <v>Female</v>
      </c>
      <c r="F84" t="str">
        <v>Marketing</v>
      </c>
      <c r="G84">
        <v>104903.79</v>
      </c>
      <c r="I84" t="str">
        <v>SQ03387</v>
      </c>
      <c r="J84" t="str">
        <v>Robinia</v>
      </c>
      <c r="K84" t="str">
        <v>Scholling</v>
      </c>
      <c r="L84" t="str">
        <v>Female</v>
      </c>
      <c r="M84" t="str">
        <v>Human Resources</v>
      </c>
      <c r="N84">
        <v>100731.95</v>
      </c>
    </row>
    <row r="85" spans="2:14" x14ac:dyDescent="0.3">
      <c r="B85" t="str">
        <v>PR03886</v>
      </c>
      <c r="C85" t="str">
        <v>Edd</v>
      </c>
      <c r="D85" t="str">
        <v>MacKnockiter</v>
      </c>
      <c r="E85" t="str">
        <v>Male</v>
      </c>
      <c r="F85" t="str">
        <v>Accounting</v>
      </c>
      <c r="G85">
        <v>119022.49</v>
      </c>
      <c r="I85" t="str">
        <v>TN04246</v>
      </c>
      <c r="J85" t="str">
        <v>Shaylyn</v>
      </c>
      <c r="K85" t="str">
        <v>Ransbury</v>
      </c>
      <c r="L85" t="str">
        <v>Female</v>
      </c>
      <c r="M85" t="str">
        <v>Support</v>
      </c>
      <c r="N85">
        <v>100371.31</v>
      </c>
    </row>
    <row r="86" spans="2:14" x14ac:dyDescent="0.3">
      <c r="B86" t="str">
        <v>SQ03491</v>
      </c>
      <c r="C86" t="str">
        <v>Freda</v>
      </c>
      <c r="D86" t="str">
        <v>Legan</v>
      </c>
      <c r="E86" t="str">
        <v>Female</v>
      </c>
      <c r="F86" t="str">
        <v>Sales</v>
      </c>
      <c r="G86">
        <v>102129.37</v>
      </c>
      <c r="I86" t="str">
        <v>SQ02174</v>
      </c>
      <c r="J86" t="str">
        <v>Sidoney</v>
      </c>
      <c r="K86" t="str">
        <v>Yitzhok</v>
      </c>
      <c r="L86" t="str">
        <v>Female</v>
      </c>
      <c r="M86" t="str">
        <v>Engineering</v>
      </c>
      <c r="N86">
        <v>118442.54</v>
      </c>
    </row>
    <row r="87" spans="2:14" x14ac:dyDescent="0.3">
      <c r="B87" t="str">
        <v>VT01762</v>
      </c>
      <c r="C87" t="str">
        <v>Geena</v>
      </c>
      <c r="D87" t="str">
        <v>Raghavanpillai</v>
      </c>
      <c r="E87" t="str">
        <v>Male</v>
      </c>
      <c r="F87" t="str">
        <v>Accounting</v>
      </c>
      <c r="G87">
        <v>102515.81</v>
      </c>
      <c r="I87" t="str">
        <v>VT04552</v>
      </c>
      <c r="J87" t="str">
        <v>Theresita</v>
      </c>
      <c r="K87" t="str">
        <v>Chasmer</v>
      </c>
      <c r="L87" t="str">
        <v>Female</v>
      </c>
      <c r="M87" t="str">
        <v>Product Management</v>
      </c>
      <c r="N87">
        <v>106665.67</v>
      </c>
    </row>
    <row r="88" spans="2:14" x14ac:dyDescent="0.3">
      <c r="B88" t="str">
        <v>PR02208</v>
      </c>
      <c r="C88" t="str">
        <v>Gowri</v>
      </c>
      <c r="D88" t="str">
        <v>Sankar</v>
      </c>
      <c r="E88" t="str">
        <v>Female</v>
      </c>
      <c r="F88" t="str">
        <v>Training</v>
      </c>
      <c r="G88">
        <v>102934.09</v>
      </c>
      <c r="I88" t="str">
        <v>TN04740</v>
      </c>
      <c r="J88" t="str">
        <v>Tristam</v>
      </c>
      <c r="K88" t="str">
        <v>Cuming</v>
      </c>
      <c r="L88" t="str">
        <v>Female</v>
      </c>
      <c r="M88" t="str">
        <v>Support</v>
      </c>
      <c r="N88">
        <v>104038.9</v>
      </c>
    </row>
    <row r="89" spans="2:14" x14ac:dyDescent="0.3">
      <c r="B89" t="str">
        <v>SQ02624</v>
      </c>
      <c r="C89" t="str">
        <v>Gwenneth</v>
      </c>
      <c r="D89" t="str">
        <v>Fealey</v>
      </c>
      <c r="E89" t="str">
        <v>Female</v>
      </c>
      <c r="F89" t="str">
        <v>Engineering</v>
      </c>
      <c r="G89">
        <v>114772.32</v>
      </c>
    </row>
    <row r="90" spans="2:14" x14ac:dyDescent="0.3">
      <c r="B90" t="str">
        <v>PR00746</v>
      </c>
      <c r="C90" t="str">
        <v>Hogan</v>
      </c>
      <c r="D90" t="str">
        <v>Iles</v>
      </c>
      <c r="E90" t="str">
        <v>Female</v>
      </c>
      <c r="F90" t="str">
        <v>Accounting</v>
      </c>
      <c r="G90">
        <v>114177.23</v>
      </c>
    </row>
    <row r="91" spans="2:14" x14ac:dyDescent="0.3">
      <c r="B91" t="str">
        <v>VT04350</v>
      </c>
      <c r="C91" t="str">
        <v>Kulbhushan</v>
      </c>
      <c r="D91" t="str">
        <v>Moorthy</v>
      </c>
      <c r="E91" t="str">
        <v>Male</v>
      </c>
      <c r="F91" t="str">
        <v>Business Development</v>
      </c>
      <c r="G91">
        <v>106400.02</v>
      </c>
    </row>
    <row r="92" spans="2:14" x14ac:dyDescent="0.3">
      <c r="B92" t="str">
        <v>VT04350</v>
      </c>
      <c r="C92" t="str">
        <v>Lalit</v>
      </c>
      <c r="D92" t="str">
        <v>Kothari</v>
      </c>
      <c r="E92" t="str">
        <v>Male</v>
      </c>
      <c r="F92" t="str">
        <v>Business Development</v>
      </c>
      <c r="G92">
        <v>106400.02</v>
      </c>
    </row>
    <row r="93" spans="2:14" x14ac:dyDescent="0.3">
      <c r="B93" t="str">
        <v>VT01893</v>
      </c>
      <c r="C93" t="str">
        <v>Lindy</v>
      </c>
      <c r="D93" t="str">
        <v>Guillet</v>
      </c>
      <c r="E93" t="str">
        <v>Male</v>
      </c>
      <c r="F93" t="str">
        <v>Training</v>
      </c>
      <c r="G93">
        <v>112778.28</v>
      </c>
    </row>
    <row r="94" spans="2:14" x14ac:dyDescent="0.3">
      <c r="B94" t="str">
        <v>VT01893</v>
      </c>
      <c r="C94" t="str">
        <v>Lindy</v>
      </c>
      <c r="D94" t="str">
        <v>Guillet</v>
      </c>
      <c r="E94" t="str">
        <v>Male</v>
      </c>
      <c r="F94" t="str">
        <v>Training</v>
      </c>
      <c r="G94">
        <v>112778.28</v>
      </c>
    </row>
    <row r="95" spans="2:14" x14ac:dyDescent="0.3">
      <c r="B95" t="str">
        <v>VT04028</v>
      </c>
      <c r="C95" t="str">
        <v>Michale</v>
      </c>
      <c r="D95" t="str">
        <v>Rolf</v>
      </c>
      <c r="E95" t="str">
        <v>Male</v>
      </c>
      <c r="F95" t="str">
        <v>Services</v>
      </c>
      <c r="G95">
        <v>111815.49</v>
      </c>
    </row>
    <row r="96" spans="2:14" x14ac:dyDescent="0.3">
      <c r="B96" t="str">
        <v>VT04028</v>
      </c>
      <c r="C96" t="str">
        <v>Michale</v>
      </c>
      <c r="D96" t="str">
        <v>Rolf</v>
      </c>
      <c r="E96" t="str">
        <v>Male</v>
      </c>
      <c r="F96" t="str">
        <v>Services</v>
      </c>
      <c r="G96">
        <v>111815.49</v>
      </c>
    </row>
    <row r="97" spans="2:9" x14ac:dyDescent="0.3">
      <c r="B97" t="str">
        <v>SQ04612</v>
      </c>
      <c r="C97" t="str">
        <v>Mick</v>
      </c>
      <c r="D97" t="str">
        <v>Spraberry</v>
      </c>
      <c r="E97" t="str">
        <v>Female</v>
      </c>
      <c r="F97" t="str">
        <v>Services</v>
      </c>
      <c r="G97">
        <v>120000</v>
      </c>
      <c r="I97" t="s">
        <v>798</v>
      </c>
    </row>
    <row r="98" spans="2:9" x14ac:dyDescent="0.3">
      <c r="B98" t="str">
        <v>PR00147</v>
      </c>
      <c r="C98" t="str">
        <v>Minerva</v>
      </c>
      <c r="D98" t="str">
        <v>Ricardot</v>
      </c>
      <c r="E98" t="str">
        <v>Male</v>
      </c>
      <c r="F98" t="str">
        <v>Engineering</v>
      </c>
      <c r="G98">
        <v>120000</v>
      </c>
    </row>
    <row r="99" spans="2:9" x14ac:dyDescent="0.3">
      <c r="B99" t="str">
        <v>PR01159</v>
      </c>
      <c r="C99" t="str">
        <v>Mollie</v>
      </c>
      <c r="D99" t="str">
        <v>Hanway</v>
      </c>
      <c r="E99" t="str">
        <v>Male</v>
      </c>
      <c r="F99" t="str">
        <v>Engineering</v>
      </c>
      <c r="G99">
        <v>112645.99</v>
      </c>
    </row>
    <row r="100" spans="2:9" x14ac:dyDescent="0.3">
      <c r="B100" t="str">
        <v>SQ04603</v>
      </c>
      <c r="C100" t="str">
        <v>Natalee</v>
      </c>
      <c r="D100" t="str">
        <v>Craiker</v>
      </c>
      <c r="E100" t="str">
        <v>Male</v>
      </c>
      <c r="F100" t="str">
        <v>Product Management</v>
      </c>
      <c r="G100">
        <v>111229.47</v>
      </c>
    </row>
    <row r="101" spans="2:9" x14ac:dyDescent="0.3">
      <c r="B101" t="str">
        <v>VT04681</v>
      </c>
      <c r="C101" t="str">
        <v>Nickolai</v>
      </c>
      <c r="D101" t="str">
        <v>Artin</v>
      </c>
      <c r="E101" t="str">
        <v>Female</v>
      </c>
      <c r="F101" t="str">
        <v>Product Management</v>
      </c>
      <c r="G101">
        <v>110906.35</v>
      </c>
    </row>
    <row r="102" spans="2:9" x14ac:dyDescent="0.3">
      <c r="B102" t="str">
        <v>VT04093</v>
      </c>
      <c r="C102" t="str">
        <v>Prasanna</v>
      </c>
      <c r="D102" t="str">
        <v>Lakshmi</v>
      </c>
      <c r="E102" t="str">
        <v>Female</v>
      </c>
      <c r="F102" t="str">
        <v>Training</v>
      </c>
      <c r="G102">
        <v>116767.63</v>
      </c>
    </row>
    <row r="103" spans="2:9" x14ac:dyDescent="0.3">
      <c r="B103" t="str">
        <v>PR02010</v>
      </c>
      <c r="C103" t="str">
        <v>Prerana</v>
      </c>
      <c r="D103" t="str">
        <v>Nishita</v>
      </c>
      <c r="E103" t="str">
        <v>Male</v>
      </c>
      <c r="F103" t="str">
        <v>Product Management</v>
      </c>
      <c r="G103">
        <v>115191.38</v>
      </c>
    </row>
    <row r="104" spans="2:9" x14ac:dyDescent="0.3">
      <c r="B104" t="str">
        <v>TN00579</v>
      </c>
      <c r="C104" t="str">
        <v>Rafaelita</v>
      </c>
      <c r="D104" t="str">
        <v>Blaksland</v>
      </c>
      <c r="E104" t="str">
        <v>Female</v>
      </c>
      <c r="F104" t="str">
        <v>Services</v>
      </c>
      <c r="G104">
        <v>109163.39</v>
      </c>
    </row>
    <row r="105" spans="2:9" x14ac:dyDescent="0.3">
      <c r="B105" t="str">
        <v>SQ03476</v>
      </c>
      <c r="C105" t="str">
        <v>Ramalingam</v>
      </c>
      <c r="D105" t="str">
        <v>Kothapeta</v>
      </c>
      <c r="E105" t="str">
        <v>Need to check</v>
      </c>
      <c r="F105" t="str">
        <v>Accounting</v>
      </c>
      <c r="G105">
        <v>107107.6</v>
      </c>
    </row>
    <row r="106" spans="2:9" x14ac:dyDescent="0.3">
      <c r="B106" t="str">
        <v>SQ03733</v>
      </c>
      <c r="C106" t="str">
        <v>Revkah</v>
      </c>
      <c r="D106" t="str">
        <v>Antonacci</v>
      </c>
      <c r="E106" t="str">
        <v>Male</v>
      </c>
      <c r="F106" t="str">
        <v>Engineering</v>
      </c>
      <c r="G106">
        <v>109143.17</v>
      </c>
    </row>
    <row r="107" spans="2:9" x14ac:dyDescent="0.3">
      <c r="B107" t="str">
        <v>SQ03387</v>
      </c>
      <c r="C107" t="str">
        <v>Robinia</v>
      </c>
      <c r="D107" t="str">
        <v>Scholling</v>
      </c>
      <c r="E107" t="str">
        <v>Female</v>
      </c>
      <c r="F107" t="str">
        <v>Human Resources</v>
      </c>
      <c r="G107">
        <v>100731.95</v>
      </c>
    </row>
    <row r="108" spans="2:9" x14ac:dyDescent="0.3">
      <c r="B108" t="str">
        <v>TN04246</v>
      </c>
      <c r="C108" t="str">
        <v>Shaylyn</v>
      </c>
      <c r="D108" t="str">
        <v>Ransbury</v>
      </c>
      <c r="E108" t="str">
        <v>Female</v>
      </c>
      <c r="F108" t="str">
        <v>Support</v>
      </c>
      <c r="G108">
        <v>100371.31</v>
      </c>
    </row>
    <row r="109" spans="2:9" x14ac:dyDescent="0.3">
      <c r="B109" t="str">
        <v>VT02801</v>
      </c>
      <c r="C109" t="str">
        <v>Shellysheldon</v>
      </c>
      <c r="D109" t="str">
        <v>Mahady</v>
      </c>
      <c r="E109" t="str">
        <v>Male</v>
      </c>
      <c r="F109" t="str">
        <v>Training</v>
      </c>
      <c r="G109">
        <v>114691.03</v>
      </c>
    </row>
    <row r="110" spans="2:9" x14ac:dyDescent="0.3">
      <c r="B110" t="str">
        <v>SQ02174</v>
      </c>
      <c r="C110" t="str">
        <v>Sidoney</v>
      </c>
      <c r="D110" t="str">
        <v>Yitzhok</v>
      </c>
      <c r="E110" t="str">
        <v>Female</v>
      </c>
      <c r="F110" t="str">
        <v>Engineering</v>
      </c>
      <c r="G110">
        <v>118442.54</v>
      </c>
    </row>
    <row r="111" spans="2:9" x14ac:dyDescent="0.3">
      <c r="B111" t="str">
        <v>TN04058</v>
      </c>
      <c r="C111" t="str">
        <v>Subbarao</v>
      </c>
      <c r="D111" t="str">
        <v>Malladi</v>
      </c>
      <c r="E111" t="str">
        <v>Male</v>
      </c>
      <c r="F111" t="str">
        <v>Product Management</v>
      </c>
      <c r="G111">
        <v>106775.14</v>
      </c>
    </row>
    <row r="112" spans="2:9" x14ac:dyDescent="0.3">
      <c r="B112" t="str">
        <v>SQ03116</v>
      </c>
      <c r="C112" t="str">
        <v>Syd</v>
      </c>
      <c r="D112" t="str">
        <v>Fearn</v>
      </c>
      <c r="E112" t="str">
        <v>Male</v>
      </c>
      <c r="F112" t="str">
        <v>Engineering</v>
      </c>
      <c r="G112">
        <v>108872.77</v>
      </c>
    </row>
    <row r="113" spans="2:7" x14ac:dyDescent="0.3">
      <c r="B113" t="str">
        <v>VT04552</v>
      </c>
      <c r="C113" t="str">
        <v>Theresita</v>
      </c>
      <c r="D113" t="str">
        <v>Chasmer</v>
      </c>
      <c r="E113" t="str">
        <v>Female</v>
      </c>
      <c r="F113" t="str">
        <v>Product Management</v>
      </c>
      <c r="G113">
        <v>106665.67</v>
      </c>
    </row>
    <row r="114" spans="2:7" x14ac:dyDescent="0.3">
      <c r="B114" t="str">
        <v>TN04740</v>
      </c>
      <c r="C114" t="str">
        <v>Tristam</v>
      </c>
      <c r="D114" t="str">
        <v>Cuming</v>
      </c>
      <c r="E114" t="str">
        <v>Female</v>
      </c>
      <c r="F114" t="str">
        <v>Support</v>
      </c>
      <c r="G114">
        <v>104038.9</v>
      </c>
    </row>
    <row r="115" spans="2:7" x14ac:dyDescent="0.3">
      <c r="B115" t="str">
        <v>TN04058</v>
      </c>
      <c r="C115" t="str">
        <v>Vasu</v>
      </c>
      <c r="D115" t="str">
        <v>Nandin</v>
      </c>
      <c r="E115" t="str">
        <v>Male</v>
      </c>
      <c r="F115" t="str">
        <v>Product Management</v>
      </c>
      <c r="G115">
        <v>106775.14</v>
      </c>
    </row>
    <row r="116" spans="2:7" x14ac:dyDescent="0.3">
      <c r="B116" t="str">
        <v>SQ01620</v>
      </c>
      <c r="C116" t="str">
        <v>Westbrook</v>
      </c>
      <c r="D116" t="str">
        <v>Brandino</v>
      </c>
      <c r="E116" t="str">
        <v>Male</v>
      </c>
      <c r="F116" t="str">
        <v>Legal</v>
      </c>
      <c r="G116">
        <v>113616.23</v>
      </c>
    </row>
    <row r="117" spans="2:7" x14ac:dyDescent="0.3">
      <c r="B117" t="str">
        <v>PR04601</v>
      </c>
      <c r="C117" t="str">
        <v>Yedukondalu</v>
      </c>
      <c r="D117" t="str">
        <v>Panditula</v>
      </c>
      <c r="E117" t="str">
        <v>Need to check</v>
      </c>
      <c r="F117" t="str">
        <v>Support</v>
      </c>
      <c r="G117">
        <v>104802.63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54C9-D555-4694-ADD9-3D6CAF5C334E}">
  <dimension ref="B1:I271"/>
  <sheetViews>
    <sheetView topLeftCell="A2" zoomScale="190" zoomScaleNormal="190" workbookViewId="0">
      <selection activeCell="D6" sqref="D6"/>
    </sheetView>
  </sheetViews>
  <sheetFormatPr defaultRowHeight="14.4" x14ac:dyDescent="0.3"/>
  <cols>
    <col min="1" max="1" width="2.88671875" customWidth="1"/>
    <col min="2" max="2" width="14.5546875" customWidth="1"/>
    <col min="3" max="5" width="13.109375" customWidth="1"/>
    <col min="7" max="7" width="9.109375" hidden="1" customWidth="1"/>
  </cols>
  <sheetData>
    <row r="1" spans="2:9" x14ac:dyDescent="0.3">
      <c r="B1" s="25" t="s">
        <v>746</v>
      </c>
    </row>
    <row r="3" spans="2:9" x14ac:dyDescent="0.3">
      <c r="C3" s="33" t="s">
        <v>774</v>
      </c>
      <c r="D3" s="34" t="s">
        <v>15</v>
      </c>
      <c r="E3" s="34" t="s">
        <v>24</v>
      </c>
    </row>
    <row r="4" spans="2:9" x14ac:dyDescent="0.3">
      <c r="B4" s="32" t="s">
        <v>771</v>
      </c>
      <c r="C4" s="36">
        <f>MIN(staff[Salary])</f>
        <v>28160.79</v>
      </c>
      <c r="D4" s="37">
        <f>_xlfn.MINIFS(staff[Salary],staff[Gender],D3)</f>
        <v>28160.79</v>
      </c>
      <c r="E4" s="37">
        <f>_xlfn.MINIFS(staff[Salary],staff[Gender],E3)</f>
        <v>28305.08</v>
      </c>
    </row>
    <row r="5" spans="2:9" x14ac:dyDescent="0.3">
      <c r="B5" s="32" t="s">
        <v>772</v>
      </c>
      <c r="C5" s="36">
        <f>MAX(staff[Salary])</f>
        <v>120000</v>
      </c>
      <c r="D5" s="37">
        <f>_xlfn.MAXIFS(staff[Salary],staff[Gender],D3)</f>
        <v>120000</v>
      </c>
      <c r="E5" s="37">
        <f>_xlfn.MAXIFS(staff[Salary],staff[Gender],E3)</f>
        <v>120000</v>
      </c>
    </row>
    <row r="6" spans="2:9" x14ac:dyDescent="0.3">
      <c r="B6" s="32" t="s">
        <v>773</v>
      </c>
      <c r="C6" s="36">
        <f>LARGE(staff[Salary],1)</f>
        <v>120000</v>
      </c>
      <c r="D6" s="37"/>
      <c r="E6" s="37"/>
      <c r="G6">
        <v>1</v>
      </c>
    </row>
    <row r="7" spans="2:9" x14ac:dyDescent="0.3">
      <c r="C7" s="36">
        <f>LARGE(staff[Salary],2)</f>
        <v>120000</v>
      </c>
      <c r="D7" s="37"/>
      <c r="E7" s="37"/>
      <c r="G7">
        <v>2</v>
      </c>
    </row>
    <row r="8" spans="2:9" x14ac:dyDescent="0.3">
      <c r="C8" s="36">
        <f>LARGE(staff[Salary],3)</f>
        <v>119022.49</v>
      </c>
      <c r="D8" s="37"/>
      <c r="E8" s="37"/>
      <c r="G8">
        <v>3</v>
      </c>
    </row>
    <row r="9" spans="2:9" x14ac:dyDescent="0.3">
      <c r="C9" s="36">
        <f>LARGE(staff[Salary],4)</f>
        <v>118976.16</v>
      </c>
      <c r="D9" s="37"/>
      <c r="E9" s="37"/>
      <c r="G9">
        <v>4</v>
      </c>
    </row>
    <row r="10" spans="2:9" x14ac:dyDescent="0.3">
      <c r="C10" s="36">
        <f>LARGE(staff[Salary],5)</f>
        <v>118442.54</v>
      </c>
      <c r="D10" s="37"/>
      <c r="E10" s="37"/>
      <c r="G10">
        <v>5</v>
      </c>
    </row>
    <row r="12" spans="2:9" x14ac:dyDescent="0.3">
      <c r="B12" s="32" t="s">
        <v>773</v>
      </c>
      <c r="C12" s="38" cm="1">
        <f t="array" ref="C12:C271">_xlfn._xlws.SORT(staff[Salary],,-1)</f>
        <v>120000</v>
      </c>
      <c r="D12" s="66"/>
      <c r="E12" s="37"/>
      <c r="I12" s="63">
        <v>5</v>
      </c>
    </row>
    <row r="13" spans="2:9" x14ac:dyDescent="0.3">
      <c r="B13" s="35" t="s">
        <v>775</v>
      </c>
      <c r="C13" s="38">
        <v>120000</v>
      </c>
      <c r="D13" s="37"/>
      <c r="E13" s="37"/>
    </row>
    <row r="14" spans="2:9" x14ac:dyDescent="0.3">
      <c r="C14" s="38">
        <v>119022.49</v>
      </c>
      <c r="D14" s="37"/>
      <c r="E14" s="37"/>
    </row>
    <row r="15" spans="2:9" x14ac:dyDescent="0.3">
      <c r="C15" s="38">
        <v>118976.16</v>
      </c>
      <c r="D15" s="37"/>
      <c r="E15" s="37"/>
    </row>
    <row r="16" spans="2:9" x14ac:dyDescent="0.3">
      <c r="C16" s="38">
        <v>118442.54</v>
      </c>
      <c r="D16" s="37"/>
      <c r="E16" s="37"/>
    </row>
    <row r="17" spans="3:3" x14ac:dyDescent="0.3">
      <c r="C17" s="39">
        <v>116767.63</v>
      </c>
    </row>
    <row r="18" spans="3:3" x14ac:dyDescent="0.3">
      <c r="C18" s="39">
        <v>116767.63</v>
      </c>
    </row>
    <row r="19" spans="3:3" x14ac:dyDescent="0.3">
      <c r="C19" s="39">
        <v>115191.38</v>
      </c>
    </row>
    <row r="20" spans="3:3" x14ac:dyDescent="0.3">
      <c r="C20" s="39">
        <v>114772.32</v>
      </c>
    </row>
    <row r="21" spans="3:3" x14ac:dyDescent="0.3">
      <c r="C21" s="39">
        <v>114691.03</v>
      </c>
    </row>
    <row r="22" spans="3:3" x14ac:dyDescent="0.3">
      <c r="C22" s="39">
        <v>114465.93</v>
      </c>
    </row>
    <row r="23" spans="3:3" x14ac:dyDescent="0.3">
      <c r="C23" s="39">
        <v>114425.19</v>
      </c>
    </row>
    <row r="24" spans="3:3" x14ac:dyDescent="0.3">
      <c r="C24" s="39">
        <v>114177.23</v>
      </c>
    </row>
    <row r="25" spans="3:3" x14ac:dyDescent="0.3">
      <c r="C25" s="39">
        <v>113747.56</v>
      </c>
    </row>
    <row r="26" spans="3:3" x14ac:dyDescent="0.3">
      <c r="C26" s="39">
        <v>113747.56</v>
      </c>
    </row>
    <row r="27" spans="3:3" x14ac:dyDescent="0.3">
      <c r="C27" s="39">
        <v>113616.23</v>
      </c>
    </row>
    <row r="28" spans="3:3" x14ac:dyDescent="0.3">
      <c r="C28" s="39">
        <v>112778.28</v>
      </c>
    </row>
    <row r="29" spans="3:3" x14ac:dyDescent="0.3">
      <c r="C29" s="39">
        <v>112778.28</v>
      </c>
    </row>
    <row r="30" spans="3:3" x14ac:dyDescent="0.3">
      <c r="C30" s="39">
        <v>112645.99</v>
      </c>
    </row>
    <row r="31" spans="3:3" x14ac:dyDescent="0.3">
      <c r="C31" s="39">
        <v>111815.49</v>
      </c>
    </row>
    <row r="32" spans="3:3" x14ac:dyDescent="0.3">
      <c r="C32" s="39">
        <v>111815.49</v>
      </c>
    </row>
    <row r="33" spans="3:3" x14ac:dyDescent="0.3">
      <c r="C33" s="39">
        <v>111229.47</v>
      </c>
    </row>
    <row r="34" spans="3:3" x14ac:dyDescent="0.3">
      <c r="C34" s="39">
        <v>111049.84</v>
      </c>
    </row>
    <row r="35" spans="3:3" x14ac:dyDescent="0.3">
      <c r="C35">
        <v>110906.35</v>
      </c>
    </row>
    <row r="36" spans="3:3" x14ac:dyDescent="0.3">
      <c r="C36">
        <v>110042.37</v>
      </c>
    </row>
    <row r="37" spans="3:3" x14ac:dyDescent="0.3">
      <c r="C37">
        <v>109163.39</v>
      </c>
    </row>
    <row r="38" spans="3:3" x14ac:dyDescent="0.3">
      <c r="C38">
        <v>109143.17</v>
      </c>
    </row>
    <row r="39" spans="3:3" x14ac:dyDescent="0.3">
      <c r="C39">
        <v>108872.77</v>
      </c>
    </row>
    <row r="40" spans="3:3" x14ac:dyDescent="0.3">
      <c r="C40">
        <v>107107.6</v>
      </c>
    </row>
    <row r="41" spans="3:3" x14ac:dyDescent="0.3">
      <c r="C41">
        <v>106775.14</v>
      </c>
    </row>
    <row r="42" spans="3:3" x14ac:dyDescent="0.3">
      <c r="C42">
        <v>106775.14</v>
      </c>
    </row>
    <row r="43" spans="3:3" x14ac:dyDescent="0.3">
      <c r="C43">
        <v>106665.67</v>
      </c>
    </row>
    <row r="44" spans="3:3" x14ac:dyDescent="0.3">
      <c r="C44">
        <v>106400.02</v>
      </c>
    </row>
    <row r="45" spans="3:3" x14ac:dyDescent="0.3">
      <c r="C45">
        <v>106400.02</v>
      </c>
    </row>
    <row r="46" spans="3:3" x14ac:dyDescent="0.3">
      <c r="C46">
        <v>104903.79</v>
      </c>
    </row>
    <row r="47" spans="3:3" x14ac:dyDescent="0.3">
      <c r="C47">
        <v>104802.63</v>
      </c>
    </row>
    <row r="48" spans="3:3" x14ac:dyDescent="0.3">
      <c r="C48">
        <v>104335.03999999999</v>
      </c>
    </row>
    <row r="49" spans="3:3" x14ac:dyDescent="0.3">
      <c r="C49">
        <v>104038.9</v>
      </c>
    </row>
    <row r="50" spans="3:3" x14ac:dyDescent="0.3">
      <c r="C50">
        <v>103494.94</v>
      </c>
    </row>
    <row r="51" spans="3:3" x14ac:dyDescent="0.3">
      <c r="C51">
        <v>103494.94</v>
      </c>
    </row>
    <row r="52" spans="3:3" x14ac:dyDescent="0.3">
      <c r="C52">
        <v>102934.09</v>
      </c>
    </row>
    <row r="53" spans="3:3" x14ac:dyDescent="0.3">
      <c r="C53">
        <v>102515.81</v>
      </c>
    </row>
    <row r="54" spans="3:3" x14ac:dyDescent="0.3">
      <c r="C54">
        <v>102129.37</v>
      </c>
    </row>
    <row r="55" spans="3:3" x14ac:dyDescent="0.3">
      <c r="C55">
        <v>101187.36</v>
      </c>
    </row>
    <row r="56" spans="3:3" x14ac:dyDescent="0.3">
      <c r="C56">
        <v>100731.95</v>
      </c>
    </row>
    <row r="57" spans="3:3" x14ac:dyDescent="0.3">
      <c r="C57">
        <v>100424.23</v>
      </c>
    </row>
    <row r="58" spans="3:3" x14ac:dyDescent="0.3">
      <c r="C58">
        <v>100371.31</v>
      </c>
    </row>
    <row r="59" spans="3:3" x14ac:dyDescent="0.3">
      <c r="C59">
        <v>99965.97</v>
      </c>
    </row>
    <row r="60" spans="3:3" x14ac:dyDescent="0.3">
      <c r="C60">
        <v>99683.67</v>
      </c>
    </row>
    <row r="61" spans="3:3" x14ac:dyDescent="0.3">
      <c r="C61">
        <v>99683.67</v>
      </c>
    </row>
    <row r="62" spans="3:3" x14ac:dyDescent="0.3">
      <c r="C62">
        <v>99460.78</v>
      </c>
    </row>
    <row r="63" spans="3:3" x14ac:dyDescent="0.3">
      <c r="C63">
        <v>99448.78</v>
      </c>
    </row>
    <row r="64" spans="3:3" x14ac:dyDescent="0.3">
      <c r="C64">
        <v>99448.78</v>
      </c>
    </row>
    <row r="65" spans="3:3" x14ac:dyDescent="0.3">
      <c r="C65">
        <v>98012.63</v>
      </c>
    </row>
    <row r="66" spans="3:3" x14ac:dyDescent="0.3">
      <c r="C66">
        <v>98000</v>
      </c>
    </row>
    <row r="67" spans="3:3" x14ac:dyDescent="0.3">
      <c r="C67">
        <v>97105.19</v>
      </c>
    </row>
    <row r="68" spans="3:3" x14ac:dyDescent="0.3">
      <c r="C68">
        <v>96753.78</v>
      </c>
    </row>
    <row r="69" spans="3:3" x14ac:dyDescent="0.3">
      <c r="C69">
        <v>96753.78</v>
      </c>
    </row>
    <row r="70" spans="3:3" x14ac:dyDescent="0.3">
      <c r="C70">
        <v>96555.53</v>
      </c>
    </row>
    <row r="71" spans="3:3" x14ac:dyDescent="0.3">
      <c r="C71">
        <v>96135.75</v>
      </c>
    </row>
    <row r="72" spans="3:3" x14ac:dyDescent="0.3">
      <c r="C72">
        <v>95954.02</v>
      </c>
    </row>
    <row r="73" spans="3:3" x14ac:dyDescent="0.3">
      <c r="C73">
        <v>95677.9</v>
      </c>
    </row>
    <row r="74" spans="3:3" x14ac:dyDescent="0.3">
      <c r="C74">
        <v>95017.1</v>
      </c>
    </row>
    <row r="75" spans="3:3" x14ac:dyDescent="0.3">
      <c r="C75">
        <v>94815.28</v>
      </c>
    </row>
    <row r="76" spans="3:3" x14ac:dyDescent="0.3">
      <c r="C76">
        <v>93964.3</v>
      </c>
    </row>
    <row r="77" spans="3:3" x14ac:dyDescent="0.3">
      <c r="C77">
        <v>93128.34</v>
      </c>
    </row>
    <row r="78" spans="3:3" x14ac:dyDescent="0.3">
      <c r="C78">
        <v>92943.89</v>
      </c>
    </row>
    <row r="79" spans="3:3" x14ac:dyDescent="0.3">
      <c r="C79">
        <v>92704.48</v>
      </c>
    </row>
    <row r="80" spans="3:3" x14ac:dyDescent="0.3">
      <c r="C80">
        <v>92336.08</v>
      </c>
    </row>
    <row r="81" spans="3:3" x14ac:dyDescent="0.3">
      <c r="C81">
        <v>91929.69</v>
      </c>
    </row>
    <row r="82" spans="3:3" x14ac:dyDescent="0.3">
      <c r="C82">
        <v>91645.04</v>
      </c>
    </row>
    <row r="83" spans="3:3" x14ac:dyDescent="0.3">
      <c r="C83">
        <v>91314.75</v>
      </c>
    </row>
    <row r="84" spans="3:3" x14ac:dyDescent="0.3">
      <c r="C84">
        <v>90884.32</v>
      </c>
    </row>
    <row r="85" spans="3:3" x14ac:dyDescent="0.3">
      <c r="C85">
        <v>90884.32</v>
      </c>
    </row>
    <row r="86" spans="3:3" x14ac:dyDescent="0.3">
      <c r="C86">
        <v>90884.32</v>
      </c>
    </row>
    <row r="87" spans="3:3" x14ac:dyDescent="0.3">
      <c r="C87">
        <v>90697.67</v>
      </c>
    </row>
    <row r="88" spans="3:3" x14ac:dyDescent="0.3">
      <c r="C88">
        <v>89960.6</v>
      </c>
    </row>
    <row r="89" spans="3:3" x14ac:dyDescent="0.3">
      <c r="C89">
        <v>89838.77</v>
      </c>
    </row>
    <row r="90" spans="3:3" x14ac:dyDescent="0.3">
      <c r="C90">
        <v>89829.33</v>
      </c>
    </row>
    <row r="91" spans="3:3" x14ac:dyDescent="0.3">
      <c r="C91">
        <v>89690.38</v>
      </c>
    </row>
    <row r="92" spans="3:3" x14ac:dyDescent="0.3">
      <c r="C92">
        <v>89690.38</v>
      </c>
    </row>
    <row r="93" spans="3:3" x14ac:dyDescent="0.3">
      <c r="C93">
        <v>89605.13</v>
      </c>
    </row>
    <row r="94" spans="3:3" x14ac:dyDescent="0.3">
      <c r="C94">
        <v>88689.09</v>
      </c>
    </row>
    <row r="95" spans="3:3" x14ac:dyDescent="0.3">
      <c r="C95">
        <v>88511.17</v>
      </c>
    </row>
    <row r="96" spans="3:3" x14ac:dyDescent="0.3">
      <c r="C96">
        <v>88425.08</v>
      </c>
    </row>
    <row r="97" spans="3:3" x14ac:dyDescent="0.3">
      <c r="C97">
        <v>88034.67</v>
      </c>
    </row>
    <row r="98" spans="3:3" x14ac:dyDescent="0.3">
      <c r="C98">
        <v>86558.58</v>
      </c>
    </row>
    <row r="99" spans="3:3" x14ac:dyDescent="0.3">
      <c r="C99">
        <v>86556.96</v>
      </c>
    </row>
    <row r="100" spans="3:3" x14ac:dyDescent="0.3">
      <c r="C100">
        <v>86233.83</v>
      </c>
    </row>
    <row r="101" spans="3:3" x14ac:dyDescent="0.3">
      <c r="C101">
        <v>86010.54</v>
      </c>
    </row>
    <row r="102" spans="3:3" x14ac:dyDescent="0.3">
      <c r="C102">
        <v>85918.61</v>
      </c>
    </row>
    <row r="103" spans="3:3" x14ac:dyDescent="0.3">
      <c r="C103">
        <v>85455.53</v>
      </c>
    </row>
    <row r="104" spans="3:3" x14ac:dyDescent="0.3">
      <c r="C104">
        <v>85264.38</v>
      </c>
    </row>
    <row r="105" spans="3:3" x14ac:dyDescent="0.3">
      <c r="C105">
        <v>85000</v>
      </c>
    </row>
    <row r="106" spans="3:3" x14ac:dyDescent="0.3">
      <c r="C106">
        <v>84762.76</v>
      </c>
    </row>
    <row r="107" spans="3:3" x14ac:dyDescent="0.3">
      <c r="C107">
        <v>84745.93</v>
      </c>
    </row>
    <row r="108" spans="3:3" x14ac:dyDescent="0.3">
      <c r="C108">
        <v>84742.86</v>
      </c>
    </row>
    <row r="109" spans="3:3" x14ac:dyDescent="0.3">
      <c r="C109">
        <v>84598.88</v>
      </c>
    </row>
    <row r="110" spans="3:3" x14ac:dyDescent="0.3">
      <c r="C110">
        <v>84598.88</v>
      </c>
    </row>
    <row r="111" spans="3:3" x14ac:dyDescent="0.3">
      <c r="C111">
        <v>84309.95</v>
      </c>
    </row>
    <row r="112" spans="3:3" x14ac:dyDescent="0.3">
      <c r="C112">
        <v>83396.5</v>
      </c>
    </row>
    <row r="113" spans="3:3" x14ac:dyDescent="0.3">
      <c r="C113">
        <v>83191.95</v>
      </c>
    </row>
    <row r="114" spans="3:3" x14ac:dyDescent="0.3">
      <c r="C114">
        <v>82239.53</v>
      </c>
    </row>
    <row r="115" spans="3:3" x14ac:dyDescent="0.3">
      <c r="C115">
        <v>81897.789999999994</v>
      </c>
    </row>
    <row r="116" spans="3:3" x14ac:dyDescent="0.3">
      <c r="C116">
        <v>80772.92</v>
      </c>
    </row>
    <row r="117" spans="3:3" x14ac:dyDescent="0.3">
      <c r="C117">
        <v>80695.740000000005</v>
      </c>
    </row>
    <row r="118" spans="3:3" x14ac:dyDescent="0.3">
      <c r="C118">
        <v>80695.740000000005</v>
      </c>
    </row>
    <row r="119" spans="3:3" x14ac:dyDescent="0.3">
      <c r="C119">
        <v>80360.41</v>
      </c>
    </row>
    <row r="120" spans="3:3" x14ac:dyDescent="0.3">
      <c r="C120">
        <v>80169.42</v>
      </c>
    </row>
    <row r="121" spans="3:3" x14ac:dyDescent="0.3">
      <c r="C121">
        <v>80169.42</v>
      </c>
    </row>
    <row r="122" spans="3:3" x14ac:dyDescent="0.3">
      <c r="C122">
        <v>79567.69</v>
      </c>
    </row>
    <row r="123" spans="3:3" x14ac:dyDescent="0.3">
      <c r="C123">
        <v>78840.23</v>
      </c>
    </row>
    <row r="124" spans="3:3" x14ac:dyDescent="0.3">
      <c r="C124">
        <v>78705.929999999993</v>
      </c>
    </row>
    <row r="125" spans="3:3" x14ac:dyDescent="0.3">
      <c r="C125">
        <v>78443.78</v>
      </c>
    </row>
    <row r="126" spans="3:3" x14ac:dyDescent="0.3">
      <c r="C126">
        <v>78378.2</v>
      </c>
    </row>
    <row r="127" spans="3:3" x14ac:dyDescent="0.3">
      <c r="C127">
        <v>78020.39</v>
      </c>
    </row>
    <row r="128" spans="3:3" x14ac:dyDescent="0.3">
      <c r="C128">
        <v>77743.149999999994</v>
      </c>
    </row>
    <row r="129" spans="3:3" x14ac:dyDescent="0.3">
      <c r="C129">
        <v>77096.05</v>
      </c>
    </row>
    <row r="130" spans="3:3" x14ac:dyDescent="0.3">
      <c r="C130">
        <v>77045.440000000002</v>
      </c>
    </row>
    <row r="131" spans="3:3" x14ac:dyDescent="0.3">
      <c r="C131">
        <v>76932.600000000006</v>
      </c>
    </row>
    <row r="132" spans="3:3" x14ac:dyDescent="0.3">
      <c r="C132">
        <v>76320.44</v>
      </c>
    </row>
    <row r="133" spans="3:3" x14ac:dyDescent="0.3">
      <c r="C133">
        <v>76303.820000000007</v>
      </c>
    </row>
    <row r="134" spans="3:3" x14ac:dyDescent="0.3">
      <c r="C134">
        <v>76303.820000000007</v>
      </c>
    </row>
    <row r="135" spans="3:3" x14ac:dyDescent="0.3">
      <c r="C135">
        <v>75974.990000000005</v>
      </c>
    </row>
    <row r="136" spans="3:3" x14ac:dyDescent="0.3">
      <c r="C136">
        <v>75733.740000000005</v>
      </c>
    </row>
    <row r="137" spans="3:3" x14ac:dyDescent="0.3">
      <c r="C137">
        <v>75475.929999999993</v>
      </c>
    </row>
    <row r="138" spans="3:3" x14ac:dyDescent="0.3">
      <c r="C138">
        <v>74924.649999999994</v>
      </c>
    </row>
    <row r="139" spans="3:3" x14ac:dyDescent="0.3">
      <c r="C139">
        <v>74279.009999999995</v>
      </c>
    </row>
    <row r="140" spans="3:3" x14ac:dyDescent="0.3">
      <c r="C140">
        <v>73488.679999999993</v>
      </c>
    </row>
    <row r="141" spans="3:3" x14ac:dyDescent="0.3">
      <c r="C141">
        <v>73360.38</v>
      </c>
    </row>
    <row r="142" spans="3:3" x14ac:dyDescent="0.3">
      <c r="C142">
        <v>73360.38</v>
      </c>
    </row>
    <row r="143" spans="3:3" x14ac:dyDescent="0.3">
      <c r="C143">
        <v>72876.91</v>
      </c>
    </row>
    <row r="144" spans="3:3" x14ac:dyDescent="0.3">
      <c r="C144">
        <v>72876.91</v>
      </c>
    </row>
    <row r="145" spans="3:3" x14ac:dyDescent="0.3">
      <c r="C145">
        <v>72843.23</v>
      </c>
    </row>
    <row r="146" spans="3:3" x14ac:dyDescent="0.3">
      <c r="C146">
        <v>72502.61</v>
      </c>
    </row>
    <row r="147" spans="3:3" x14ac:dyDescent="0.3">
      <c r="C147">
        <v>71924.850000000006</v>
      </c>
    </row>
    <row r="148" spans="3:3" x14ac:dyDescent="0.3">
      <c r="C148">
        <v>71823.56</v>
      </c>
    </row>
    <row r="149" spans="3:3" x14ac:dyDescent="0.3">
      <c r="C149">
        <v>71823.56</v>
      </c>
    </row>
    <row r="150" spans="3:3" x14ac:dyDescent="0.3">
      <c r="C150">
        <v>71570.990000000005</v>
      </c>
    </row>
    <row r="151" spans="3:3" x14ac:dyDescent="0.3">
      <c r="C151">
        <v>71371.37</v>
      </c>
    </row>
    <row r="152" spans="3:3" x14ac:dyDescent="0.3">
      <c r="C152">
        <v>71229.42</v>
      </c>
    </row>
    <row r="153" spans="3:3" x14ac:dyDescent="0.3">
      <c r="C153">
        <v>70755.5</v>
      </c>
    </row>
    <row r="154" spans="3:3" x14ac:dyDescent="0.3">
      <c r="C154">
        <v>70649.460000000006</v>
      </c>
    </row>
    <row r="155" spans="3:3" x14ac:dyDescent="0.3">
      <c r="C155">
        <v>69913.39</v>
      </c>
    </row>
    <row r="156" spans="3:3" x14ac:dyDescent="0.3">
      <c r="C156">
        <v>69862.38</v>
      </c>
    </row>
    <row r="157" spans="3:3" x14ac:dyDescent="0.3">
      <c r="C157">
        <v>69764.100000000006</v>
      </c>
    </row>
    <row r="158" spans="3:3" x14ac:dyDescent="0.3">
      <c r="C158">
        <v>69709.509999999995</v>
      </c>
    </row>
    <row r="159" spans="3:3" x14ac:dyDescent="0.3">
      <c r="C159">
        <v>69192.850000000006</v>
      </c>
    </row>
    <row r="160" spans="3:3" x14ac:dyDescent="0.3">
      <c r="C160">
        <v>69163.39</v>
      </c>
    </row>
    <row r="161" spans="3:3" x14ac:dyDescent="0.3">
      <c r="C161">
        <v>69163.39</v>
      </c>
    </row>
    <row r="162" spans="3:3" x14ac:dyDescent="0.3">
      <c r="C162">
        <v>69057.320000000007</v>
      </c>
    </row>
    <row r="163" spans="3:3" x14ac:dyDescent="0.3">
      <c r="C163">
        <v>69057.320000000007</v>
      </c>
    </row>
    <row r="164" spans="3:3" x14ac:dyDescent="0.3">
      <c r="C164">
        <v>68980.52</v>
      </c>
    </row>
    <row r="165" spans="3:3" x14ac:dyDescent="0.3">
      <c r="C165">
        <v>68887.839999999997</v>
      </c>
    </row>
    <row r="166" spans="3:3" x14ac:dyDescent="0.3">
      <c r="C166">
        <v>68860.399999999994</v>
      </c>
    </row>
    <row r="167" spans="3:3" x14ac:dyDescent="0.3">
      <c r="C167">
        <v>68795.48</v>
      </c>
    </row>
    <row r="168" spans="3:3" x14ac:dyDescent="0.3">
      <c r="C168">
        <v>68795.48</v>
      </c>
    </row>
    <row r="169" spans="3:3" x14ac:dyDescent="0.3">
      <c r="C169">
        <v>68197.899999999994</v>
      </c>
    </row>
    <row r="170" spans="3:3" x14ac:dyDescent="0.3">
      <c r="C170">
        <v>68008.55</v>
      </c>
    </row>
    <row r="171" spans="3:3" x14ac:dyDescent="0.3">
      <c r="C171">
        <v>67957.899999999994</v>
      </c>
    </row>
    <row r="172" spans="3:3" x14ac:dyDescent="0.3">
      <c r="C172">
        <v>67905.8</v>
      </c>
    </row>
    <row r="173" spans="3:3" x14ac:dyDescent="0.3">
      <c r="C173">
        <v>67818.14</v>
      </c>
    </row>
    <row r="174" spans="3:3" x14ac:dyDescent="0.3">
      <c r="C174">
        <v>67818.14</v>
      </c>
    </row>
    <row r="175" spans="3:3" x14ac:dyDescent="0.3">
      <c r="C175">
        <v>67633.850000000006</v>
      </c>
    </row>
    <row r="176" spans="3:3" x14ac:dyDescent="0.3">
      <c r="C176">
        <v>66865.490000000005</v>
      </c>
    </row>
    <row r="177" spans="3:3" x14ac:dyDescent="0.3">
      <c r="C177">
        <v>66865.490000000005</v>
      </c>
    </row>
    <row r="178" spans="3:3" x14ac:dyDescent="0.3">
      <c r="C178">
        <v>66572.58</v>
      </c>
    </row>
    <row r="179" spans="3:3" x14ac:dyDescent="0.3">
      <c r="C179">
        <v>66572.58</v>
      </c>
    </row>
    <row r="180" spans="3:3" x14ac:dyDescent="0.3">
      <c r="C180">
        <v>66017.179999999993</v>
      </c>
    </row>
    <row r="181" spans="3:3" x14ac:dyDescent="0.3">
      <c r="C181">
        <v>65699.02</v>
      </c>
    </row>
    <row r="182" spans="3:3" x14ac:dyDescent="0.3">
      <c r="C182">
        <v>65569.36</v>
      </c>
    </row>
    <row r="183" spans="3:3" x14ac:dyDescent="0.3">
      <c r="C183">
        <v>63705.4</v>
      </c>
    </row>
    <row r="184" spans="3:3" x14ac:dyDescent="0.3">
      <c r="C184">
        <v>63555.73</v>
      </c>
    </row>
    <row r="185" spans="3:3" x14ac:dyDescent="0.3">
      <c r="C185">
        <v>63447.07</v>
      </c>
    </row>
    <row r="186" spans="3:3" x14ac:dyDescent="0.3">
      <c r="C186">
        <v>62281.24</v>
      </c>
    </row>
    <row r="187" spans="3:3" x14ac:dyDescent="0.3">
      <c r="C187">
        <v>62195.47</v>
      </c>
    </row>
    <row r="188" spans="3:3" x14ac:dyDescent="0.3">
      <c r="C188">
        <v>61994.76</v>
      </c>
    </row>
    <row r="189" spans="3:3" x14ac:dyDescent="0.3">
      <c r="C189">
        <v>61688.77</v>
      </c>
    </row>
    <row r="190" spans="3:3" x14ac:dyDescent="0.3">
      <c r="C190">
        <v>61624.77</v>
      </c>
    </row>
    <row r="191" spans="3:3" x14ac:dyDescent="0.3">
      <c r="C191">
        <v>61214.26</v>
      </c>
    </row>
    <row r="192" spans="3:3" x14ac:dyDescent="0.3">
      <c r="C192">
        <v>61213.01</v>
      </c>
    </row>
    <row r="193" spans="3:3" x14ac:dyDescent="0.3">
      <c r="C193">
        <v>59434.18</v>
      </c>
    </row>
    <row r="194" spans="3:3" x14ac:dyDescent="0.3">
      <c r="C194">
        <v>59258.19</v>
      </c>
    </row>
    <row r="195" spans="3:3" x14ac:dyDescent="0.3">
      <c r="C195">
        <v>59258.19</v>
      </c>
    </row>
    <row r="196" spans="3:3" x14ac:dyDescent="0.3">
      <c r="C196">
        <v>58935.92</v>
      </c>
    </row>
    <row r="197" spans="3:3" x14ac:dyDescent="0.3">
      <c r="C197">
        <v>58861.19</v>
      </c>
    </row>
    <row r="198" spans="3:3" x14ac:dyDescent="0.3">
      <c r="C198">
        <v>58744.17</v>
      </c>
    </row>
    <row r="199" spans="3:3" x14ac:dyDescent="0.3">
      <c r="C199">
        <v>57925.91</v>
      </c>
    </row>
    <row r="200" spans="3:3" x14ac:dyDescent="0.3">
      <c r="C200">
        <v>57419.35</v>
      </c>
    </row>
    <row r="201" spans="3:3" x14ac:dyDescent="0.3">
      <c r="C201">
        <v>57002.02</v>
      </c>
    </row>
    <row r="202" spans="3:3" x14ac:dyDescent="0.3">
      <c r="C202">
        <v>56253.81</v>
      </c>
    </row>
    <row r="203" spans="3:3" x14ac:dyDescent="0.3">
      <c r="C203">
        <v>54137.05</v>
      </c>
    </row>
    <row r="204" spans="3:3" x14ac:dyDescent="0.3">
      <c r="C204">
        <v>53949.26</v>
      </c>
    </row>
    <row r="205" spans="3:3" x14ac:dyDescent="0.3">
      <c r="C205">
        <v>53949.26</v>
      </c>
    </row>
    <row r="206" spans="3:3" x14ac:dyDescent="0.3">
      <c r="C206">
        <v>53535.62</v>
      </c>
    </row>
    <row r="207" spans="3:3" x14ac:dyDescent="0.3">
      <c r="C207">
        <v>53184.02</v>
      </c>
    </row>
    <row r="208" spans="3:3" x14ac:dyDescent="0.3">
      <c r="C208">
        <v>52963.65</v>
      </c>
    </row>
    <row r="209" spans="3:3" x14ac:dyDescent="0.3">
      <c r="C209">
        <v>52748.63</v>
      </c>
    </row>
    <row r="210" spans="3:3" x14ac:dyDescent="0.3">
      <c r="C210">
        <v>52270.22</v>
      </c>
    </row>
    <row r="211" spans="3:3" x14ac:dyDescent="0.3">
      <c r="C211">
        <v>52246.29</v>
      </c>
    </row>
    <row r="212" spans="3:3" x14ac:dyDescent="0.3">
      <c r="C212">
        <v>51798.25</v>
      </c>
    </row>
    <row r="213" spans="3:3" x14ac:dyDescent="0.3">
      <c r="C213">
        <v>51165.37</v>
      </c>
    </row>
    <row r="214" spans="3:3" x14ac:dyDescent="0.3">
      <c r="C214">
        <v>50855.53</v>
      </c>
    </row>
    <row r="215" spans="3:3" x14ac:dyDescent="0.3">
      <c r="C215">
        <v>50449.46</v>
      </c>
    </row>
    <row r="216" spans="3:3" x14ac:dyDescent="0.3">
      <c r="C216">
        <v>50310.09</v>
      </c>
    </row>
    <row r="217" spans="3:3" x14ac:dyDescent="0.3">
      <c r="C217">
        <v>49915.14</v>
      </c>
    </row>
    <row r="218" spans="3:3" x14ac:dyDescent="0.3">
      <c r="C218">
        <v>49625.64</v>
      </c>
    </row>
    <row r="219" spans="3:3" x14ac:dyDescent="0.3">
      <c r="C219">
        <v>48525.71</v>
      </c>
    </row>
    <row r="220" spans="3:3" x14ac:dyDescent="0.3">
      <c r="C220">
        <v>47646.95</v>
      </c>
    </row>
    <row r="221" spans="3:3" x14ac:dyDescent="0.3">
      <c r="C221">
        <v>47551.89</v>
      </c>
    </row>
    <row r="222" spans="3:3" x14ac:dyDescent="0.3">
      <c r="C222">
        <v>47362.62</v>
      </c>
    </row>
    <row r="223" spans="3:3" x14ac:dyDescent="0.3">
      <c r="C223">
        <v>46751.7</v>
      </c>
    </row>
    <row r="224" spans="3:3" x14ac:dyDescent="0.3">
      <c r="C224">
        <v>44845.33</v>
      </c>
    </row>
    <row r="225" spans="3:3" x14ac:dyDescent="0.3">
      <c r="C225">
        <v>44447.26</v>
      </c>
    </row>
    <row r="226" spans="3:3" x14ac:dyDescent="0.3">
      <c r="C226">
        <v>44403.77</v>
      </c>
    </row>
    <row r="227" spans="3:3" x14ac:dyDescent="0.3">
      <c r="C227">
        <v>43329.22</v>
      </c>
    </row>
    <row r="228" spans="3:3" x14ac:dyDescent="0.3">
      <c r="C228">
        <v>42314.39</v>
      </c>
    </row>
    <row r="229" spans="3:3" x14ac:dyDescent="0.3">
      <c r="C229">
        <v>42161.77</v>
      </c>
    </row>
    <row r="230" spans="3:3" x14ac:dyDescent="0.3">
      <c r="C230">
        <v>41934.71</v>
      </c>
    </row>
    <row r="231" spans="3:3" x14ac:dyDescent="0.3">
      <c r="C231">
        <v>41934.71</v>
      </c>
    </row>
    <row r="232" spans="3:3" x14ac:dyDescent="0.3">
      <c r="C232">
        <v>40753.54</v>
      </c>
    </row>
    <row r="233" spans="3:3" x14ac:dyDescent="0.3">
      <c r="C233">
        <v>40445.29</v>
      </c>
    </row>
    <row r="234" spans="3:3" x14ac:dyDescent="0.3">
      <c r="C234">
        <v>40445.29</v>
      </c>
    </row>
    <row r="235" spans="3:3" x14ac:dyDescent="0.3">
      <c r="C235">
        <v>39969.72</v>
      </c>
    </row>
    <row r="236" spans="3:3" x14ac:dyDescent="0.3">
      <c r="C236">
        <v>39784.239999999998</v>
      </c>
    </row>
    <row r="237" spans="3:3" x14ac:dyDescent="0.3">
      <c r="C237">
        <v>39700.82</v>
      </c>
    </row>
    <row r="238" spans="3:3" x14ac:dyDescent="0.3">
      <c r="C238">
        <v>39700.82</v>
      </c>
    </row>
    <row r="239" spans="3:3" x14ac:dyDescent="0.3">
      <c r="C239">
        <v>39535.49</v>
      </c>
    </row>
    <row r="240" spans="3:3" x14ac:dyDescent="0.3">
      <c r="C240">
        <v>38825.18</v>
      </c>
    </row>
    <row r="241" spans="3:3" x14ac:dyDescent="0.3">
      <c r="C241">
        <v>38438.239999999998</v>
      </c>
    </row>
    <row r="242" spans="3:3" x14ac:dyDescent="0.3">
      <c r="C242">
        <v>38438.239999999998</v>
      </c>
    </row>
    <row r="243" spans="3:3" x14ac:dyDescent="0.3">
      <c r="C243">
        <v>37902.35</v>
      </c>
    </row>
    <row r="244" spans="3:3" x14ac:dyDescent="0.3">
      <c r="C244">
        <v>37902.35</v>
      </c>
    </row>
    <row r="245" spans="3:3" x14ac:dyDescent="0.3">
      <c r="C245">
        <v>37362.300000000003</v>
      </c>
    </row>
    <row r="246" spans="3:3" x14ac:dyDescent="0.3">
      <c r="C246">
        <v>37062.1</v>
      </c>
    </row>
    <row r="247" spans="3:3" x14ac:dyDescent="0.3">
      <c r="C247">
        <v>36714.379999999997</v>
      </c>
    </row>
    <row r="248" spans="3:3" x14ac:dyDescent="0.3">
      <c r="C248">
        <v>36547.58</v>
      </c>
    </row>
    <row r="249" spans="3:3" x14ac:dyDescent="0.3">
      <c r="C249">
        <v>36547.58</v>
      </c>
    </row>
    <row r="250" spans="3:3" x14ac:dyDescent="0.3">
      <c r="C250">
        <v>36536.26</v>
      </c>
    </row>
    <row r="251" spans="3:3" x14ac:dyDescent="0.3">
      <c r="C251">
        <v>35943.620000000003</v>
      </c>
    </row>
    <row r="252" spans="3:3" x14ac:dyDescent="0.3">
      <c r="C252">
        <v>35936.31</v>
      </c>
    </row>
    <row r="253" spans="3:3" x14ac:dyDescent="0.3">
      <c r="C253">
        <v>33031.26</v>
      </c>
    </row>
    <row r="254" spans="3:3" x14ac:dyDescent="0.3">
      <c r="C254">
        <v>32496.880000000001</v>
      </c>
    </row>
    <row r="255" spans="3:3" x14ac:dyDescent="0.3">
      <c r="C255">
        <v>32269.91</v>
      </c>
    </row>
    <row r="256" spans="3:3" x14ac:dyDescent="0.3">
      <c r="C256">
        <v>32192.15</v>
      </c>
    </row>
    <row r="257" spans="3:3" x14ac:dyDescent="0.3">
      <c r="C257">
        <v>31816.57</v>
      </c>
    </row>
    <row r="258" spans="3:3" x14ac:dyDescent="0.3">
      <c r="C258">
        <v>31241.24</v>
      </c>
    </row>
    <row r="259" spans="3:3" x14ac:dyDescent="0.3">
      <c r="C259">
        <v>31172.77</v>
      </c>
    </row>
    <row r="260" spans="3:3" x14ac:dyDescent="0.3">
      <c r="C260">
        <v>31089.22</v>
      </c>
    </row>
    <row r="261" spans="3:3" x14ac:dyDescent="0.3">
      <c r="C261">
        <v>31042.51</v>
      </c>
    </row>
    <row r="262" spans="3:3" x14ac:dyDescent="0.3">
      <c r="C262">
        <v>30077.45</v>
      </c>
    </row>
    <row r="263" spans="3:3" x14ac:dyDescent="0.3">
      <c r="C263">
        <v>29808.07</v>
      </c>
    </row>
    <row r="264" spans="3:3" x14ac:dyDescent="0.3">
      <c r="C264">
        <v>29774.76</v>
      </c>
    </row>
    <row r="265" spans="3:3" x14ac:dyDescent="0.3">
      <c r="C265">
        <v>28974.03</v>
      </c>
    </row>
    <row r="266" spans="3:3" x14ac:dyDescent="0.3">
      <c r="C266">
        <v>28481.16</v>
      </c>
    </row>
    <row r="267" spans="3:3" x14ac:dyDescent="0.3">
      <c r="C267">
        <v>28481.16</v>
      </c>
    </row>
    <row r="268" spans="3:3" x14ac:dyDescent="0.3">
      <c r="C268">
        <v>28481.16</v>
      </c>
    </row>
    <row r="269" spans="3:3" x14ac:dyDescent="0.3">
      <c r="C269">
        <v>28329.77</v>
      </c>
    </row>
    <row r="270" spans="3:3" x14ac:dyDescent="0.3">
      <c r="C270">
        <v>28305.08</v>
      </c>
    </row>
    <row r="271" spans="3:3" x14ac:dyDescent="0.3">
      <c r="C271">
        <v>28160.79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A22C-5C43-4295-8A8C-7B09D9961386}">
  <dimension ref="B1:Q17"/>
  <sheetViews>
    <sheetView zoomScale="190" zoomScaleNormal="190" workbookViewId="0">
      <selection activeCell="B4" sqref="B4"/>
    </sheetView>
  </sheetViews>
  <sheetFormatPr defaultRowHeight="14.4" x14ac:dyDescent="0.3"/>
  <cols>
    <col min="1" max="1" width="2.88671875" customWidth="1"/>
    <col min="2" max="2" width="25.33203125" customWidth="1"/>
  </cols>
  <sheetData>
    <row r="1" spans="2:17" x14ac:dyDescent="0.3">
      <c r="B1" s="25" t="s">
        <v>776</v>
      </c>
    </row>
    <row r="3" spans="2:17" x14ac:dyDescent="0.3">
      <c r="B3" s="25" t="s">
        <v>777</v>
      </c>
      <c r="E3" t="s">
        <v>779</v>
      </c>
      <c r="F3">
        <f>COUNTA(_xlfn.ANCHORARRAY(B4))</f>
        <v>13</v>
      </c>
    </row>
    <row r="4" spans="2:17" x14ac:dyDescent="0.3">
      <c r="B4" s="67" t="str" cm="1">
        <f t="array" ref="B4:B16">_xlfn._xlws.SORT(_xlfn.UNIQUE(staff[Department]))</f>
        <v>Accounting</v>
      </c>
    </row>
    <row r="5" spans="2:17" x14ac:dyDescent="0.3">
      <c r="B5" s="67" t="str">
        <v>Business Development</v>
      </c>
      <c r="D5" t="str" cm="1">
        <f t="array" ref="D5:Q5">TRANSPOSE(B4:B17)</f>
        <v>Accounting</v>
      </c>
      <c r="E5" t="str">
        <v>Business Development</v>
      </c>
      <c r="F5" t="str">
        <v>Business Growth</v>
      </c>
      <c r="G5" t="str">
        <v>Engineering</v>
      </c>
      <c r="H5" t="str">
        <v>Human Resources</v>
      </c>
      <c r="I5" t="str">
        <v>Legal</v>
      </c>
      <c r="J5" t="str">
        <v>Marketing</v>
      </c>
      <c r="K5" t="str">
        <v>Product Management</v>
      </c>
      <c r="L5" t="str">
        <v>Research and Development</v>
      </c>
      <c r="M5" t="str">
        <v>Sales</v>
      </c>
      <c r="N5" t="str">
        <v>Services</v>
      </c>
      <c r="O5" t="str">
        <v>Support</v>
      </c>
      <c r="P5" t="str">
        <v>Training</v>
      </c>
      <c r="Q5">
        <v>0</v>
      </c>
    </row>
    <row r="6" spans="2:17" x14ac:dyDescent="0.3">
      <c r="B6" s="67" t="str">
        <v>Business Growth</v>
      </c>
      <c r="D6" t="str">
        <f>_xlfn.ARRAYTOTEXT(_xlfn.ANCHORARRAY(B4),0)</f>
        <v>Accounting, Business Development, Business Growth, Engineering, Human Resources, Legal, Marketing, Product Management, Research and Development, Sales, Services, Support, Training</v>
      </c>
    </row>
    <row r="7" spans="2:17" x14ac:dyDescent="0.3">
      <c r="B7" s="67" t="str">
        <v>Engineering</v>
      </c>
    </row>
    <row r="8" spans="2:17" x14ac:dyDescent="0.3">
      <c r="B8" s="67" t="str">
        <v>Human Resources</v>
      </c>
    </row>
    <row r="9" spans="2:17" x14ac:dyDescent="0.3">
      <c r="B9" s="67" t="str">
        <v>Legal</v>
      </c>
    </row>
    <row r="10" spans="2:17" x14ac:dyDescent="0.3">
      <c r="B10" s="67" t="str">
        <v>Marketing</v>
      </c>
    </row>
    <row r="11" spans="2:17" x14ac:dyDescent="0.3">
      <c r="B11" s="67" t="str">
        <v>Product Management</v>
      </c>
    </row>
    <row r="12" spans="2:17" x14ac:dyDescent="0.3">
      <c r="B12" s="67" t="str">
        <v>Research and Development</v>
      </c>
    </row>
    <row r="13" spans="2:17" x14ac:dyDescent="0.3">
      <c r="B13" s="67" t="str">
        <v>Sales</v>
      </c>
    </row>
    <row r="14" spans="2:17" x14ac:dyDescent="0.3">
      <c r="B14" s="67" t="str">
        <v>Services</v>
      </c>
    </row>
    <row r="15" spans="2:17" x14ac:dyDescent="0.3">
      <c r="B15" s="67" t="str">
        <v>Support</v>
      </c>
    </row>
    <row r="16" spans="2:17" x14ac:dyDescent="0.3">
      <c r="B16" s="67" t="str">
        <v>Training</v>
      </c>
    </row>
    <row r="17" spans="2:2" x14ac:dyDescent="0.3">
      <c r="B17" s="6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6C26-306B-4A6B-A7E5-BFAE2DDA5D56}">
  <dimension ref="A1:K22"/>
  <sheetViews>
    <sheetView zoomScale="115" zoomScaleNormal="115" workbookViewId="0">
      <selection activeCell="G8" sqref="G8"/>
    </sheetView>
  </sheetViews>
  <sheetFormatPr defaultRowHeight="14.4" x14ac:dyDescent="0.3"/>
  <cols>
    <col min="1" max="1" width="2.88671875" customWidth="1"/>
    <col min="2" max="2" width="13.33203125" customWidth="1"/>
    <col min="3" max="3" width="20.88671875" customWidth="1"/>
    <col min="4" max="4" width="4.33203125" customWidth="1"/>
    <col min="5" max="5" width="20" customWidth="1"/>
  </cols>
  <sheetData>
    <row r="1" spans="1:11" x14ac:dyDescent="0.3">
      <c r="B1" s="25" t="s">
        <v>781</v>
      </c>
    </row>
    <row r="4" spans="1:11" x14ac:dyDescent="0.3">
      <c r="B4" t="s">
        <v>782</v>
      </c>
      <c r="C4" s="40" t="s">
        <v>528</v>
      </c>
      <c r="E4" s="45" t="s">
        <v>787</v>
      </c>
    </row>
    <row r="6" spans="1:11" x14ac:dyDescent="0.3">
      <c r="A6" s="43">
        <v>2</v>
      </c>
      <c r="B6" t="s">
        <v>783</v>
      </c>
      <c r="C6" s="41" t="str">
        <f>VLOOKUP(C4,staff[],2,FALSE)</f>
        <v>Amal</v>
      </c>
      <c r="E6" s="41" t="str">
        <f>_xlfn.XLOOKUP(C4,staff[Emp ID],staff[First Name])</f>
        <v>Amal</v>
      </c>
    </row>
    <row r="7" spans="1:11" x14ac:dyDescent="0.3">
      <c r="A7" s="43">
        <v>3</v>
      </c>
      <c r="B7" t="s">
        <v>784</v>
      </c>
      <c r="C7" s="41" t="str">
        <f>VLOOKUP(C4,staff[],A7,FALSE)</f>
        <v>Nimesh</v>
      </c>
      <c r="E7" s="41" t="str">
        <f>_xlfn.XLOOKUP(C4,staff[Emp ID],staff[Last Name])</f>
        <v>Nimesh</v>
      </c>
      <c r="G7" t="str" cm="1">
        <f t="array" ref="G7:K7">_xlfn.XLOOKUP(C4,staff[Emp ID],staff[First Name]:staff[Salary])</f>
        <v>Amal</v>
      </c>
      <c r="H7" t="str">
        <v>Nimesh</v>
      </c>
      <c r="I7" t="str">
        <v>Female</v>
      </c>
      <c r="J7" t="str">
        <v>Marketing</v>
      </c>
      <c r="K7">
        <v>70755.5</v>
      </c>
    </row>
    <row r="8" spans="1:11" x14ac:dyDescent="0.3">
      <c r="A8" s="43">
        <v>5</v>
      </c>
      <c r="B8" t="s">
        <v>777</v>
      </c>
      <c r="C8" s="41" t="str">
        <f>VLOOKUP($C4,staff[],A8,FALSE)</f>
        <v>Marketing</v>
      </c>
      <c r="E8" s="41" t="str">
        <f>_xlfn.XLOOKUP(C4,staff[Emp ID],staff[Department])</f>
        <v>Marketing</v>
      </c>
    </row>
    <row r="9" spans="1:11" x14ac:dyDescent="0.3">
      <c r="A9" s="43">
        <v>6</v>
      </c>
      <c r="B9" t="s">
        <v>785</v>
      </c>
      <c r="C9" s="41">
        <f>VLOOKUP(C4,staff[],A9,FALSE)</f>
        <v>70755.5</v>
      </c>
      <c r="E9" s="41">
        <f>_xlfn.XLOOKUP(C4,staff[Emp ID],staff[Salary])</f>
        <v>70755.5</v>
      </c>
    </row>
    <row r="17" spans="2:8" x14ac:dyDescent="0.3">
      <c r="B17" t="s">
        <v>784</v>
      </c>
      <c r="C17" s="40" t="s">
        <v>530</v>
      </c>
    </row>
    <row r="18" spans="2:8" x14ac:dyDescent="0.3">
      <c r="C18">
        <f>MATCH(C17,staff[Last Name],0)</f>
        <v>18</v>
      </c>
    </row>
    <row r="19" spans="2:8" x14ac:dyDescent="0.3">
      <c r="H19" t="s">
        <v>788</v>
      </c>
    </row>
    <row r="20" spans="2:8" x14ac:dyDescent="0.3">
      <c r="B20" t="s">
        <v>782</v>
      </c>
      <c r="C20" s="44" t="str">
        <f>_xlfn.XLOOKUP(C17,staff[Last Name],staff[Emp ID])</f>
        <v>VT04467</v>
      </c>
      <c r="E20" s="44"/>
    </row>
    <row r="21" spans="2:8" x14ac:dyDescent="0.3">
      <c r="B21" t="s">
        <v>777</v>
      </c>
      <c r="C21" s="44" t="str">
        <f>_xlfn.XLOOKUP(C17,staff[Last Name],staff[Department])</f>
        <v>Marketing</v>
      </c>
      <c r="E21" s="44"/>
    </row>
    <row r="22" spans="2:8" x14ac:dyDescent="0.3">
      <c r="B22" t="s">
        <v>785</v>
      </c>
      <c r="C22" s="44">
        <f>_xlfn.XLOOKUP(C17,staff[Last Name],staff[Salary])</f>
        <v>70755.5</v>
      </c>
      <c r="E22" s="4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06BE3-4F27-4CF7-9219-06DC32D878E6}">
  <dimension ref="B1:G9"/>
  <sheetViews>
    <sheetView zoomScale="190" zoomScaleNormal="190" workbookViewId="0">
      <selection activeCell="C9" sqref="C9"/>
    </sheetView>
  </sheetViews>
  <sheetFormatPr defaultRowHeight="14.4" x14ac:dyDescent="0.3"/>
  <cols>
    <col min="1" max="1" width="2.88671875" customWidth="1"/>
    <col min="2" max="2" width="12" customWidth="1"/>
    <col min="3" max="3" width="16.21875" customWidth="1"/>
  </cols>
  <sheetData>
    <row r="1" spans="2:7" x14ac:dyDescent="0.3">
      <c r="B1" s="25" t="s">
        <v>752</v>
      </c>
    </row>
    <row r="4" spans="2:7" x14ac:dyDescent="0.3">
      <c r="B4" t="s">
        <v>789</v>
      </c>
      <c r="C4" s="31" t="str" cm="1">
        <f t="array" ref="C4">_xlfn.XLOOKUP(MAX(staff[Salary]),staff[Salary],staff[First Name]&amp;" "&amp;staff[Last Name])</f>
        <v>Mick Spraberry</v>
      </c>
    </row>
    <row r="8" spans="2:7" x14ac:dyDescent="0.3">
      <c r="B8" t="s">
        <v>790</v>
      </c>
      <c r="C8" s="46" t="str" cm="1">
        <f t="array" ref="C8:C9">_xlfn._xlws.FILTER(staff[First Name]&amp;" "&amp;staff[Last Name],staff[Salary]=MAX(staff[Salary]))</f>
        <v>Mick Spraberry</v>
      </c>
      <c r="D8" s="42"/>
      <c r="E8" s="42"/>
      <c r="F8" s="42"/>
      <c r="G8" s="47"/>
    </row>
    <row r="9" spans="2:7" x14ac:dyDescent="0.3">
      <c r="C9" t="str">
        <v>Minerva Ricardot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6F37-ECDB-4C26-B430-CB3C0992D21F}">
  <dimension ref="B1:S128"/>
  <sheetViews>
    <sheetView zoomScale="190" zoomScaleNormal="190" workbookViewId="0">
      <selection activeCell="G5" sqref="G5"/>
    </sheetView>
  </sheetViews>
  <sheetFormatPr defaultRowHeight="14.4" x14ac:dyDescent="0.3"/>
  <cols>
    <col min="1" max="1" width="2.88671875" customWidth="1"/>
    <col min="2" max="2" width="10.88671875" customWidth="1"/>
    <col min="3" max="4" width="15.44140625" customWidth="1"/>
    <col min="9" max="9" width="12.44140625" customWidth="1"/>
  </cols>
  <sheetData>
    <row r="1" spans="2:19" x14ac:dyDescent="0.3">
      <c r="B1" s="25" t="s">
        <v>754</v>
      </c>
    </row>
    <row r="3" spans="2:19" x14ac:dyDescent="0.3">
      <c r="B3" s="26" t="s">
        <v>0</v>
      </c>
      <c r="C3" s="26" t="s">
        <v>1</v>
      </c>
      <c r="D3" s="26" t="s">
        <v>2</v>
      </c>
    </row>
    <row r="4" spans="2:19" x14ac:dyDescent="0.3">
      <c r="B4" t="str" cm="1">
        <f t="array" ref="B4:D25">_xlfn._xlws.FILTER(staff[[Emp ID]:[Last Name]],MONTH(staff[Start Date])=3)</f>
        <v>VT03421</v>
      </c>
      <c r="C4" t="str">
        <v>Alic</v>
      </c>
      <c r="D4" t="str">
        <v>Bagg</v>
      </c>
      <c r="G4" t="str" cm="1">
        <f t="array" ref="G4:S128">_xlfn._xlws.FILTER(staff[],LEFT(staff[Gender],1)="F")</f>
        <v>PR01383</v>
      </c>
      <c r="H4" t="str">
        <v>Addi</v>
      </c>
      <c r="I4" s="6" t="str">
        <v>Studdeard</v>
      </c>
      <c r="J4" t="str">
        <v>Female</v>
      </c>
      <c r="K4" t="str">
        <v>Product Management</v>
      </c>
      <c r="L4">
        <v>72502.61</v>
      </c>
      <c r="M4" t="str">
        <v>50k to 100k</v>
      </c>
      <c r="N4">
        <v>44235</v>
      </c>
      <c r="O4">
        <v>1</v>
      </c>
      <c r="P4" t="str">
        <v>Permanent</v>
      </c>
      <c r="Q4" t="str">
        <v>Wellington, New Zealand</v>
      </c>
      <c r="R4">
        <v>3.3671232876712329</v>
      </c>
      <c r="S4" t="str">
        <v>Full time</v>
      </c>
    </row>
    <row r="5" spans="2:19" x14ac:dyDescent="0.3">
      <c r="B5" t="str">
        <v>VT03421</v>
      </c>
      <c r="C5" t="str">
        <v>Alic</v>
      </c>
      <c r="D5" t="str">
        <v>Bagg</v>
      </c>
      <c r="G5" t="str">
        <v>VT02532</v>
      </c>
      <c r="H5" t="str">
        <v>Adey</v>
      </c>
      <c r="I5" s="6" t="str">
        <v>Ryal</v>
      </c>
      <c r="J5" t="str">
        <v>Female</v>
      </c>
      <c r="K5" t="str">
        <v>Legal</v>
      </c>
      <c r="L5">
        <v>32496.880000000001</v>
      </c>
      <c r="M5" t="str">
        <v>Under 50k</v>
      </c>
      <c r="N5">
        <v>43234</v>
      </c>
      <c r="O5">
        <v>1</v>
      </c>
      <c r="P5" t="str">
        <v>Temporary</v>
      </c>
      <c r="Q5" t="str">
        <v>Remote</v>
      </c>
      <c r="R5">
        <v>6.1095890410958908</v>
      </c>
      <c r="S5" t="str">
        <v>Full time</v>
      </c>
    </row>
    <row r="6" spans="2:19" x14ac:dyDescent="0.3">
      <c r="B6" t="str">
        <v>SQ00022</v>
      </c>
      <c r="C6" t="str">
        <v>Carlin</v>
      </c>
      <c r="D6" t="str">
        <v>Demke</v>
      </c>
      <c r="G6" t="str">
        <v>VT04467</v>
      </c>
      <c r="H6" t="str">
        <v>Amal</v>
      </c>
      <c r="I6" s="6" t="str">
        <v>Nimesh</v>
      </c>
      <c r="J6" t="str">
        <v>Female</v>
      </c>
      <c r="K6" t="str">
        <v>Marketing</v>
      </c>
      <c r="L6">
        <v>70755.5</v>
      </c>
      <c r="M6" t="str">
        <v>50k to 100k</v>
      </c>
      <c r="N6">
        <v>44090</v>
      </c>
      <c r="O6">
        <v>0.8</v>
      </c>
      <c r="P6" t="str">
        <v>Temporary</v>
      </c>
      <c r="Q6" t="str">
        <v>Hyderabad, India</v>
      </c>
      <c r="R6">
        <v>3.7643835616438355</v>
      </c>
      <c r="S6" t="str">
        <v>Part time</v>
      </c>
    </row>
    <row r="7" spans="2:19" x14ac:dyDescent="0.3">
      <c r="B7" t="str">
        <v>SQ01519</v>
      </c>
      <c r="C7" t="str">
        <v>Caron</v>
      </c>
      <c r="D7" t="str">
        <v>Kolakovic</v>
      </c>
      <c r="G7" t="str">
        <v>SQ00498</v>
      </c>
      <c r="H7" t="str">
        <v>Amery</v>
      </c>
      <c r="I7" s="6" t="str">
        <v>Ofer</v>
      </c>
      <c r="J7" t="str">
        <v>Female</v>
      </c>
      <c r="K7" t="str">
        <v>Legal</v>
      </c>
      <c r="L7">
        <v>111049.84</v>
      </c>
      <c r="M7" t="str">
        <v>Above 100k</v>
      </c>
      <c r="N7">
        <v>44393</v>
      </c>
      <c r="O7">
        <v>1</v>
      </c>
      <c r="P7" t="str">
        <v>Permanent</v>
      </c>
      <c r="Q7" t="str">
        <v>Wellington, New Zealand</v>
      </c>
      <c r="R7">
        <v>2.9342465753424656</v>
      </c>
      <c r="S7" t="str">
        <v>Full time</v>
      </c>
    </row>
    <row r="8" spans="2:19" x14ac:dyDescent="0.3">
      <c r="B8" t="str">
        <v>VT03993</v>
      </c>
      <c r="C8" t="str">
        <v>Dulce</v>
      </c>
      <c r="D8" t="str">
        <v>Colbeck</v>
      </c>
      <c r="G8" t="str">
        <v>SQ03546</v>
      </c>
      <c r="H8" t="str">
        <v>Amlankusum</v>
      </c>
      <c r="I8" s="6" t="str">
        <v>Rajabhushan</v>
      </c>
      <c r="J8" t="str">
        <v>Female</v>
      </c>
      <c r="K8" t="str">
        <v>Legal</v>
      </c>
      <c r="L8">
        <v>75733.740000000005</v>
      </c>
      <c r="M8" t="str">
        <v>50k to 100k</v>
      </c>
      <c r="N8">
        <v>44382</v>
      </c>
      <c r="O8">
        <v>1</v>
      </c>
      <c r="P8" t="str">
        <v>Permanent</v>
      </c>
      <c r="Q8" t="str">
        <v>Hyderabad, India</v>
      </c>
      <c r="R8">
        <v>2.9643835616438357</v>
      </c>
      <c r="S8" t="str">
        <v>Full time</v>
      </c>
    </row>
    <row r="9" spans="2:19" x14ac:dyDescent="0.3">
      <c r="B9" t="str">
        <v>VT02417</v>
      </c>
      <c r="C9" t="str">
        <v>Evangelina</v>
      </c>
      <c r="D9" t="str">
        <v>Lergan</v>
      </c>
      <c r="G9" t="str">
        <v>VT01684</v>
      </c>
      <c r="H9" t="str">
        <v>Audry</v>
      </c>
      <c r="I9" s="6" t="str">
        <v>Yu</v>
      </c>
      <c r="J9" t="str">
        <v>Female</v>
      </c>
      <c r="K9" t="str">
        <v>Training</v>
      </c>
      <c r="L9">
        <v>101187.36</v>
      </c>
      <c r="M9" t="str">
        <v>Above 100k</v>
      </c>
      <c r="N9">
        <v>43258</v>
      </c>
      <c r="O9">
        <v>1</v>
      </c>
      <c r="P9" t="str">
        <v>Fixed Term</v>
      </c>
      <c r="Q9" t="str">
        <v>Columbus, USA</v>
      </c>
      <c r="R9">
        <v>6.043835616438356</v>
      </c>
      <c r="S9" t="str">
        <v>Full time</v>
      </c>
    </row>
    <row r="10" spans="2:19" x14ac:dyDescent="0.3">
      <c r="B10" t="str">
        <v>SQ03625</v>
      </c>
      <c r="C10" t="str">
        <v>Fidela</v>
      </c>
      <c r="D10" t="str">
        <v>Artis</v>
      </c>
      <c r="G10" t="str">
        <v>SQ01730</v>
      </c>
      <c r="H10" t="str">
        <v>Austine</v>
      </c>
      <c r="I10" s="6" t="str">
        <v>Littlewood</v>
      </c>
      <c r="J10" t="str">
        <v>Female</v>
      </c>
      <c r="K10" t="str">
        <v>Services</v>
      </c>
      <c r="L10">
        <v>32269.91</v>
      </c>
      <c r="M10" t="str">
        <v>Under 50k</v>
      </c>
      <c r="N10">
        <v>43346</v>
      </c>
      <c r="O10">
        <v>1</v>
      </c>
      <c r="P10" t="str">
        <v>Permanent</v>
      </c>
      <c r="Q10" t="str">
        <v>Remote</v>
      </c>
      <c r="R10">
        <v>5.8027397260273972</v>
      </c>
      <c r="S10" t="str">
        <v>Full time</v>
      </c>
    </row>
    <row r="11" spans="2:19" x14ac:dyDescent="0.3">
      <c r="B11" t="str">
        <v>VT01803</v>
      </c>
      <c r="C11" t="str">
        <v>Freddy</v>
      </c>
      <c r="D11" t="str">
        <v>Linford</v>
      </c>
      <c r="G11" t="str">
        <v>TN00698</v>
      </c>
      <c r="H11" t="str">
        <v>Barbara-anne</v>
      </c>
      <c r="I11" s="6" t="str">
        <v>Kenchington</v>
      </c>
      <c r="J11" t="str">
        <v>Female</v>
      </c>
      <c r="K11" t="str">
        <v>Support</v>
      </c>
      <c r="L11">
        <v>88034.67</v>
      </c>
      <c r="M11" t="str">
        <v>50k to 100k</v>
      </c>
      <c r="N11">
        <v>43669</v>
      </c>
      <c r="O11">
        <v>1</v>
      </c>
      <c r="P11" t="str">
        <v>Permanent</v>
      </c>
      <c r="Q11" t="str">
        <v>Remote</v>
      </c>
      <c r="R11">
        <v>4.9178082191780819</v>
      </c>
      <c r="S11" t="str">
        <v>Full time</v>
      </c>
    </row>
    <row r="12" spans="2:19" x14ac:dyDescent="0.3">
      <c r="B12" t="str">
        <v>VT01762</v>
      </c>
      <c r="C12" t="str">
        <v>Geena</v>
      </c>
      <c r="D12" t="str">
        <v>Raghavanpillai</v>
      </c>
      <c r="G12" t="str">
        <v>SQ01283</v>
      </c>
      <c r="H12" t="str">
        <v>Barr</v>
      </c>
      <c r="I12" s="6" t="str">
        <v>Faughny</v>
      </c>
      <c r="J12" t="str">
        <v>Female</v>
      </c>
      <c r="K12" t="str">
        <v>Marketing</v>
      </c>
      <c r="L12">
        <v>68008.55</v>
      </c>
      <c r="M12" t="str">
        <v>50k to 100k</v>
      </c>
      <c r="N12">
        <v>44062</v>
      </c>
      <c r="O12">
        <v>1</v>
      </c>
      <c r="P12" t="str">
        <v>Permanent</v>
      </c>
      <c r="Q12" t="str">
        <v>Auckland, New Zealand</v>
      </c>
      <c r="R12">
        <v>3.8410958904109589</v>
      </c>
      <c r="S12" t="str">
        <v>Full time</v>
      </c>
    </row>
    <row r="13" spans="2:19" x14ac:dyDescent="0.3">
      <c r="B13" t="str">
        <v>PR00746</v>
      </c>
      <c r="C13" t="str">
        <v>Hogan</v>
      </c>
      <c r="D13" t="str">
        <v>Iles</v>
      </c>
      <c r="G13" t="str">
        <v>VT04093</v>
      </c>
      <c r="H13" t="str">
        <v>Baruna</v>
      </c>
      <c r="I13" s="6" t="str">
        <v>Ogale</v>
      </c>
      <c r="J13" t="str">
        <v>Female</v>
      </c>
      <c r="K13" t="str">
        <v>Training</v>
      </c>
      <c r="L13">
        <v>116767.63</v>
      </c>
      <c r="M13" t="str">
        <v>Above 100k</v>
      </c>
      <c r="N13">
        <v>43949</v>
      </c>
      <c r="O13">
        <v>0.4</v>
      </c>
      <c r="P13" t="str">
        <v>Temporary</v>
      </c>
      <c r="Q13" t="str">
        <v>Chennai, India</v>
      </c>
      <c r="R13">
        <v>4.1506849315068495</v>
      </c>
      <c r="S13" t="str">
        <v>Part time</v>
      </c>
    </row>
    <row r="14" spans="2:19" x14ac:dyDescent="0.3">
      <c r="B14" t="str">
        <v>SQ03112</v>
      </c>
      <c r="C14" t="str">
        <v>Kantimoy</v>
      </c>
      <c r="D14" t="str">
        <v>Pritish</v>
      </c>
      <c r="G14" t="str">
        <v>SQ02465</v>
      </c>
      <c r="H14" t="str">
        <v>Bernie</v>
      </c>
      <c r="I14" s="6" t="str">
        <v>Gorges</v>
      </c>
      <c r="J14" t="str">
        <v>Female</v>
      </c>
      <c r="K14" t="str">
        <v>Training</v>
      </c>
      <c r="L14">
        <v>99965.97</v>
      </c>
      <c r="M14" t="str">
        <v>50k to 100k</v>
      </c>
      <c r="N14">
        <v>43133</v>
      </c>
      <c r="O14">
        <v>1</v>
      </c>
      <c r="P14" t="str">
        <v>Permanent</v>
      </c>
      <c r="Q14" t="str">
        <v>Remote</v>
      </c>
      <c r="R14">
        <v>6.3863013698630136</v>
      </c>
      <c r="S14" t="str">
        <v>Full time</v>
      </c>
    </row>
    <row r="15" spans="2:19" x14ac:dyDescent="0.3">
      <c r="B15" t="str">
        <v>TN04892</v>
      </c>
      <c r="C15" t="str">
        <v>Luca</v>
      </c>
      <c r="D15" t="str">
        <v>Wolstenholme</v>
      </c>
      <c r="G15" t="str">
        <v>PR02113</v>
      </c>
      <c r="H15" t="str">
        <v>Beverie</v>
      </c>
      <c r="I15" s="6" t="str">
        <v>Moffet</v>
      </c>
      <c r="J15" t="str">
        <v>Female</v>
      </c>
      <c r="K15" t="str">
        <v>Support</v>
      </c>
      <c r="L15">
        <v>75974.990000000005</v>
      </c>
      <c r="M15" t="str">
        <v>50k to 100k</v>
      </c>
      <c r="N15">
        <v>44172</v>
      </c>
      <c r="O15">
        <v>1</v>
      </c>
      <c r="P15" t="str">
        <v>Permanent</v>
      </c>
      <c r="Q15" t="str">
        <v>Remote</v>
      </c>
      <c r="R15">
        <v>3.5397260273972604</v>
      </c>
      <c r="S15" t="str">
        <v>Full time</v>
      </c>
    </row>
    <row r="16" spans="2:19" x14ac:dyDescent="0.3">
      <c r="B16" t="str">
        <v>VT04415</v>
      </c>
      <c r="C16" t="str">
        <v>Malory</v>
      </c>
      <c r="D16" t="str">
        <v>Biles</v>
      </c>
      <c r="G16" t="str">
        <v>SQ00841</v>
      </c>
      <c r="H16" t="str">
        <v>Bhuvan</v>
      </c>
      <c r="I16" s="6" t="str">
        <v>Pals</v>
      </c>
      <c r="J16" t="str">
        <v>Female</v>
      </c>
      <c r="K16" t="str">
        <v>Services</v>
      </c>
      <c r="L16">
        <v>89690.38</v>
      </c>
      <c r="M16" t="str">
        <v>50k to 100k</v>
      </c>
      <c r="N16">
        <v>43213</v>
      </c>
      <c r="O16">
        <v>1</v>
      </c>
      <c r="P16" t="str">
        <v>Permanent</v>
      </c>
      <c r="Q16" t="str">
        <v>Hyderabad, India</v>
      </c>
      <c r="R16">
        <v>6.1671232876712327</v>
      </c>
      <c r="S16" t="str">
        <v>Full time</v>
      </c>
    </row>
    <row r="17" spans="2:19" x14ac:dyDescent="0.3">
      <c r="B17" t="str">
        <v>TN01601</v>
      </c>
      <c r="C17" t="str">
        <v>Melva</v>
      </c>
      <c r="D17" t="str">
        <v>Jickells</v>
      </c>
      <c r="G17" t="str">
        <v>PR00419</v>
      </c>
      <c r="H17" t="str">
        <v>Billi</v>
      </c>
      <c r="I17" s="6" t="str">
        <v>Fellgate</v>
      </c>
      <c r="J17" t="str">
        <v>Female</v>
      </c>
      <c r="K17" t="str">
        <v>Business Development</v>
      </c>
      <c r="L17">
        <v>68980.52</v>
      </c>
      <c r="M17" t="str">
        <v>50k to 100k</v>
      </c>
      <c r="N17">
        <v>43494</v>
      </c>
      <c r="O17">
        <v>0.8</v>
      </c>
      <c r="P17" t="str">
        <v>Permanent</v>
      </c>
      <c r="Q17" t="str">
        <v>Remote</v>
      </c>
      <c r="R17">
        <v>5.397260273972603</v>
      </c>
      <c r="S17" t="str">
        <v>Part time</v>
      </c>
    </row>
    <row r="18" spans="2:19" x14ac:dyDescent="0.3">
      <c r="B18" t="str">
        <v>TN01601</v>
      </c>
      <c r="C18" t="str">
        <v>Melva</v>
      </c>
      <c r="D18" t="str">
        <v>Jickells</v>
      </c>
      <c r="G18" t="str">
        <v>VT01249</v>
      </c>
      <c r="H18" t="str">
        <v>Brendan</v>
      </c>
      <c r="I18" s="6" t="str">
        <v>Edgeller</v>
      </c>
      <c r="J18" t="str">
        <v>Female</v>
      </c>
      <c r="K18" t="str">
        <v>Legal</v>
      </c>
      <c r="L18">
        <v>31042.51</v>
      </c>
      <c r="M18" t="str">
        <v>Under 50k</v>
      </c>
      <c r="N18">
        <v>44473</v>
      </c>
      <c r="O18">
        <v>0.3</v>
      </c>
      <c r="P18" t="str">
        <v>Fixed Term</v>
      </c>
      <c r="Q18" t="str">
        <v>Remote</v>
      </c>
      <c r="R18">
        <v>2.7150684931506848</v>
      </c>
      <c r="S18" t="str">
        <v>Part time</v>
      </c>
    </row>
    <row r="19" spans="2:19" x14ac:dyDescent="0.3">
      <c r="B19" t="str">
        <v>VT04028</v>
      </c>
      <c r="C19" t="str">
        <v>Michale</v>
      </c>
      <c r="D19" t="str">
        <v>Rolf</v>
      </c>
      <c r="G19" t="str">
        <v>PR03844</v>
      </c>
      <c r="H19" t="str">
        <v>Brose</v>
      </c>
      <c r="I19" s="6" t="str">
        <v>MacCorkell</v>
      </c>
      <c r="J19" t="str">
        <v>Female</v>
      </c>
      <c r="K19" t="str">
        <v>Human Resources</v>
      </c>
      <c r="L19">
        <v>35943.620000000003</v>
      </c>
      <c r="M19" t="str">
        <v>Under 50k</v>
      </c>
      <c r="N19">
        <v>44078</v>
      </c>
      <c r="O19">
        <v>1</v>
      </c>
      <c r="P19" t="str">
        <v>Permanent</v>
      </c>
      <c r="Q19" t="str">
        <v>Columbus, USA</v>
      </c>
      <c r="R19">
        <v>3.7972602739726029</v>
      </c>
      <c r="S19" t="str">
        <v>Full time</v>
      </c>
    </row>
    <row r="20" spans="2:19" x14ac:dyDescent="0.3">
      <c r="B20" t="str">
        <v>VT04028</v>
      </c>
      <c r="C20" t="str">
        <v>Michale</v>
      </c>
      <c r="D20" t="str">
        <v>Rolf</v>
      </c>
      <c r="G20" t="str">
        <v>SQ00960</v>
      </c>
      <c r="H20" t="str">
        <v>Calvin</v>
      </c>
      <c r="I20" s="6" t="str">
        <v>O'Carroll</v>
      </c>
      <c r="J20" t="str">
        <v>Female</v>
      </c>
      <c r="K20" t="str">
        <v>Research and Development</v>
      </c>
      <c r="L20">
        <v>44447.26</v>
      </c>
      <c r="M20" t="str">
        <v>Under 50k</v>
      </c>
      <c r="N20">
        <v>43846</v>
      </c>
      <c r="O20">
        <v>0.4</v>
      </c>
      <c r="P20" t="str">
        <v>Permanent</v>
      </c>
      <c r="Q20" t="str">
        <v>Seattle, USA</v>
      </c>
      <c r="R20">
        <v>4.4328767123287669</v>
      </c>
      <c r="S20" t="str">
        <v>Part time</v>
      </c>
    </row>
    <row r="21" spans="2:19" x14ac:dyDescent="0.3">
      <c r="B21" t="str">
        <v>SQ04612</v>
      </c>
      <c r="C21" t="str">
        <v>Mick</v>
      </c>
      <c r="D21" t="str">
        <v>Spraberry</v>
      </c>
      <c r="G21" t="str">
        <v>TN00182</v>
      </c>
      <c r="H21" t="str">
        <v>Camilla</v>
      </c>
      <c r="I21" s="6" t="str">
        <v>Castle</v>
      </c>
      <c r="J21" t="str">
        <v>Female</v>
      </c>
      <c r="K21" t="str">
        <v>Product Management</v>
      </c>
      <c r="L21">
        <v>75475.929999999993</v>
      </c>
      <c r="M21" t="str">
        <v>50k to 100k</v>
      </c>
      <c r="N21">
        <v>43794</v>
      </c>
      <c r="O21">
        <v>1</v>
      </c>
      <c r="P21" t="str">
        <v>Permanent</v>
      </c>
      <c r="Q21" t="str">
        <v>Remote</v>
      </c>
      <c r="R21">
        <v>4.5753424657534243</v>
      </c>
      <c r="S21" t="str">
        <v>Full time</v>
      </c>
    </row>
    <row r="22" spans="2:19" x14ac:dyDescent="0.3">
      <c r="B22" t="str">
        <v>SQ00105</v>
      </c>
      <c r="C22" t="str">
        <v>Sarayu</v>
      </c>
      <c r="D22" t="str">
        <v>Ragunathan</v>
      </c>
      <c r="G22" t="str">
        <v>PR04366</v>
      </c>
      <c r="H22" t="str">
        <v>Carry</v>
      </c>
      <c r="I22" s="6" t="str">
        <v>Loblie</v>
      </c>
      <c r="J22" t="str">
        <v>Female</v>
      </c>
      <c r="K22" t="str">
        <v>Sales</v>
      </c>
      <c r="L22">
        <v>47551.89</v>
      </c>
      <c r="M22" t="str">
        <v>Under 50k</v>
      </c>
      <c r="N22">
        <v>43468</v>
      </c>
      <c r="O22">
        <v>1</v>
      </c>
      <c r="P22" t="str">
        <v>Permanent</v>
      </c>
      <c r="Q22" t="str">
        <v>Auckland, New Zealand</v>
      </c>
      <c r="R22">
        <v>5.4684931506849317</v>
      </c>
      <c r="S22" t="str">
        <v>Full time</v>
      </c>
    </row>
    <row r="23" spans="2:19" x14ac:dyDescent="0.3">
      <c r="B23" t="str">
        <v>TN01256</v>
      </c>
      <c r="C23" t="str">
        <v>Sawini</v>
      </c>
      <c r="D23" t="str">
        <v>Chandan</v>
      </c>
      <c r="G23" t="str">
        <v>TN00083</v>
      </c>
      <c r="H23" t="str">
        <v>Chandana</v>
      </c>
      <c r="I23" s="6" t="str">
        <v>Sannidhi</v>
      </c>
      <c r="J23" t="str">
        <v>Female</v>
      </c>
      <c r="K23" t="str">
        <v>Business Development</v>
      </c>
      <c r="L23">
        <v>61688.77</v>
      </c>
      <c r="M23" t="str">
        <v>50k to 100k</v>
      </c>
      <c r="N23">
        <v>43346</v>
      </c>
      <c r="O23">
        <v>0.9</v>
      </c>
      <c r="P23" t="str">
        <v>Permanent</v>
      </c>
      <c r="Q23" t="str">
        <v>Chennai, India</v>
      </c>
      <c r="R23">
        <v>5.8027397260273972</v>
      </c>
      <c r="S23" t="str">
        <v>Part time</v>
      </c>
    </row>
    <row r="24" spans="2:19" x14ac:dyDescent="0.3">
      <c r="B24" t="str">
        <v>TN01256</v>
      </c>
      <c r="C24" t="str">
        <v>Shattesh</v>
      </c>
      <c r="D24" t="str">
        <v>Utpat</v>
      </c>
      <c r="G24" t="str">
        <v>VT01523</v>
      </c>
      <c r="H24" t="str">
        <v>Charmane</v>
      </c>
      <c r="I24" s="6" t="str">
        <v>Heistermann</v>
      </c>
      <c r="J24" t="str">
        <v>Female</v>
      </c>
      <c r="K24" t="str">
        <v>Business Development</v>
      </c>
      <c r="L24">
        <v>86558.58</v>
      </c>
      <c r="M24" t="str">
        <v>50k to 100k</v>
      </c>
      <c r="N24">
        <v>43887</v>
      </c>
      <c r="O24">
        <v>1</v>
      </c>
      <c r="P24" t="str">
        <v>Fixed Term</v>
      </c>
      <c r="Q24" t="str">
        <v>Remote</v>
      </c>
      <c r="R24">
        <v>4.3205479452054796</v>
      </c>
      <c r="S24" t="str">
        <v>Full time</v>
      </c>
    </row>
    <row r="25" spans="2:19" x14ac:dyDescent="0.3">
      <c r="B25" t="str">
        <v>PR00893</v>
      </c>
      <c r="C25" t="str">
        <v>Vasavi</v>
      </c>
      <c r="D25" t="str">
        <v>Veeravasarapu</v>
      </c>
      <c r="G25" t="str">
        <v>VT00740</v>
      </c>
      <c r="H25" t="str">
        <v>Chitrasen</v>
      </c>
      <c r="I25" s="6" t="str">
        <v>Laul</v>
      </c>
      <c r="J25" t="str">
        <v>Female</v>
      </c>
      <c r="K25" t="str">
        <v>Research and Development</v>
      </c>
      <c r="L25">
        <v>46751.7</v>
      </c>
      <c r="M25" t="str">
        <v>Under 50k</v>
      </c>
      <c r="N25">
        <v>43843</v>
      </c>
      <c r="O25">
        <v>1</v>
      </c>
      <c r="P25" t="str">
        <v>Fixed Term</v>
      </c>
      <c r="Q25" t="str">
        <v>Hyderabad, India</v>
      </c>
      <c r="R25">
        <v>4.441095890410959</v>
      </c>
      <c r="S25" t="str">
        <v>Full time</v>
      </c>
    </row>
    <row r="26" spans="2:19" x14ac:dyDescent="0.3">
      <c r="G26" t="str">
        <v>TN01281</v>
      </c>
      <c r="H26" t="str">
        <v>Cletus</v>
      </c>
      <c r="I26" t="str">
        <v>McGarahan</v>
      </c>
      <c r="J26" t="str">
        <v>Female</v>
      </c>
      <c r="K26" t="str">
        <v>Engineering</v>
      </c>
      <c r="L26">
        <v>114425.19</v>
      </c>
      <c r="M26" t="str">
        <v>Above 100k</v>
      </c>
      <c r="N26">
        <v>43857</v>
      </c>
      <c r="O26">
        <v>1</v>
      </c>
      <c r="P26" t="str">
        <v>Permanent</v>
      </c>
      <c r="Q26" t="str">
        <v>Wellington, New Zealand</v>
      </c>
      <c r="R26">
        <v>4.4027397260273968</v>
      </c>
      <c r="S26" t="str">
        <v>Full time</v>
      </c>
    </row>
    <row r="27" spans="2:19" x14ac:dyDescent="0.3">
      <c r="G27" t="str">
        <v>PR03158</v>
      </c>
      <c r="H27" t="str">
        <v>Danica</v>
      </c>
      <c r="I27" t="str">
        <v>Nayshe</v>
      </c>
      <c r="J27" t="str">
        <v>Female</v>
      </c>
      <c r="K27" t="str">
        <v>Services</v>
      </c>
      <c r="L27">
        <v>89690.38</v>
      </c>
      <c r="M27" t="str">
        <v>50k to 100k</v>
      </c>
      <c r="N27">
        <v>43206</v>
      </c>
      <c r="O27">
        <v>1</v>
      </c>
      <c r="P27" t="str">
        <v>Permanent</v>
      </c>
      <c r="Q27" t="str">
        <v>Wellington, New Zealand</v>
      </c>
      <c r="R27">
        <v>6.1863013698630134</v>
      </c>
      <c r="S27" t="str">
        <v>Full time</v>
      </c>
    </row>
    <row r="28" spans="2:19" x14ac:dyDescent="0.3">
      <c r="G28" t="str">
        <v>SQ02703</v>
      </c>
      <c r="H28" t="str">
        <v>Deepit</v>
      </c>
      <c r="I28" t="str">
        <v>Ranjana</v>
      </c>
      <c r="J28" t="str">
        <v>Female</v>
      </c>
      <c r="K28" t="str">
        <v>Marketing</v>
      </c>
      <c r="L28">
        <v>104903.79</v>
      </c>
      <c r="M28" t="str">
        <v>Above 100k</v>
      </c>
      <c r="N28">
        <v>43649</v>
      </c>
      <c r="O28">
        <v>1</v>
      </c>
      <c r="P28" t="str">
        <v>Permanent</v>
      </c>
      <c r="Q28" t="str">
        <v>Chennai, India</v>
      </c>
      <c r="R28">
        <v>4.9726027397260273</v>
      </c>
      <c r="S28" t="str">
        <v>Full time</v>
      </c>
    </row>
    <row r="29" spans="2:19" x14ac:dyDescent="0.3">
      <c r="G29" t="str">
        <v>VT02374</v>
      </c>
      <c r="H29" t="str">
        <v>Delphine</v>
      </c>
      <c r="I29" t="str">
        <v>Jewis</v>
      </c>
      <c r="J29" t="str">
        <v>Female</v>
      </c>
      <c r="K29" t="str">
        <v>Accounting</v>
      </c>
      <c r="L29">
        <v>71823.56</v>
      </c>
      <c r="M29" t="str">
        <v>50k to 100k</v>
      </c>
      <c r="N29">
        <v>43374</v>
      </c>
      <c r="O29">
        <v>0.3</v>
      </c>
      <c r="P29" t="str">
        <v>Temporary</v>
      </c>
      <c r="Q29" t="str">
        <v>Remote</v>
      </c>
      <c r="R29">
        <v>5.7260273972602738</v>
      </c>
      <c r="S29" t="str">
        <v>Part time</v>
      </c>
    </row>
    <row r="30" spans="2:19" x14ac:dyDescent="0.3">
      <c r="G30" t="str">
        <v>VT02374</v>
      </c>
      <c r="H30" t="str">
        <v>Delphine</v>
      </c>
      <c r="I30" t="str">
        <v>Jewis</v>
      </c>
      <c r="J30" t="str">
        <v>Female</v>
      </c>
      <c r="K30" t="str">
        <v>Accounting</v>
      </c>
      <c r="L30">
        <v>71823.56</v>
      </c>
      <c r="M30" t="str">
        <v>50k to 100k</v>
      </c>
      <c r="N30">
        <v>43374</v>
      </c>
      <c r="O30">
        <v>0.3</v>
      </c>
      <c r="P30" t="str">
        <v>Temporary</v>
      </c>
      <c r="Q30" t="str">
        <v>Remote</v>
      </c>
      <c r="R30">
        <v>5.7260273972602738</v>
      </c>
      <c r="S30" t="str">
        <v>Part time</v>
      </c>
    </row>
    <row r="31" spans="2:19" x14ac:dyDescent="0.3">
      <c r="G31" t="str">
        <v>PR00095</v>
      </c>
      <c r="H31" t="str">
        <v>Devrat</v>
      </c>
      <c r="I31" t="str">
        <v>Damarsingh</v>
      </c>
      <c r="J31" t="str">
        <v>Female</v>
      </c>
      <c r="K31" t="str">
        <v>Business Development</v>
      </c>
      <c r="L31">
        <v>70649.460000000006</v>
      </c>
      <c r="M31" t="str">
        <v>50k to 100k</v>
      </c>
      <c r="N31">
        <v>43843</v>
      </c>
      <c r="O31">
        <v>1</v>
      </c>
      <c r="P31" t="str">
        <v>Permanent</v>
      </c>
      <c r="Q31" t="str">
        <v>Hyderabad, India</v>
      </c>
      <c r="R31">
        <v>4.441095890410959</v>
      </c>
      <c r="S31" t="str">
        <v>Full time</v>
      </c>
    </row>
    <row r="32" spans="2:19" x14ac:dyDescent="0.3">
      <c r="G32" t="str">
        <v>TN00214</v>
      </c>
      <c r="H32" t="str">
        <v>Devsena</v>
      </c>
      <c r="I32" t="str">
        <v>Veluvalapalli</v>
      </c>
      <c r="J32" t="str">
        <v>Female</v>
      </c>
      <c r="K32" t="str">
        <v>Training</v>
      </c>
      <c r="L32">
        <v>37902.35</v>
      </c>
      <c r="M32" t="str">
        <v>Under 50k</v>
      </c>
      <c r="N32">
        <v>43823</v>
      </c>
      <c r="O32">
        <v>1</v>
      </c>
      <c r="P32" t="str">
        <v>Permanent</v>
      </c>
      <c r="Q32" t="str">
        <v>Chennai, India</v>
      </c>
      <c r="R32">
        <v>4.4958904109589044</v>
      </c>
      <c r="S32" t="str">
        <v>Full time</v>
      </c>
    </row>
    <row r="33" spans="7:19" x14ac:dyDescent="0.3">
      <c r="G33" t="str">
        <v>VT01610</v>
      </c>
      <c r="H33" t="str">
        <v>Dhruv</v>
      </c>
      <c r="I33" t="str">
        <v>Manjunath</v>
      </c>
      <c r="J33" t="str">
        <v>Female</v>
      </c>
      <c r="K33" t="str">
        <v>Accounting</v>
      </c>
      <c r="L33">
        <v>76303.820000000007</v>
      </c>
      <c r="M33" t="str">
        <v>50k to 100k</v>
      </c>
      <c r="N33">
        <v>43458</v>
      </c>
      <c r="O33">
        <v>1</v>
      </c>
      <c r="P33" t="str">
        <v>Fixed Term</v>
      </c>
      <c r="Q33" t="str">
        <v>Hyderabad, India</v>
      </c>
      <c r="R33">
        <v>5.4958904109589044</v>
      </c>
      <c r="S33" t="str">
        <v>Full time</v>
      </c>
    </row>
    <row r="34" spans="7:19" x14ac:dyDescent="0.3">
      <c r="G34" t="str">
        <v>PR02603</v>
      </c>
      <c r="H34" t="str">
        <v>Dinanath</v>
      </c>
      <c r="I34" t="str">
        <v>Simhambhatla</v>
      </c>
      <c r="J34" t="str">
        <v>Female</v>
      </c>
      <c r="K34" t="str">
        <v>Human Resources</v>
      </c>
      <c r="L34">
        <v>61994.76</v>
      </c>
      <c r="M34" t="str">
        <v>50k to 100k</v>
      </c>
      <c r="N34">
        <v>43794</v>
      </c>
      <c r="O34">
        <v>0.3</v>
      </c>
      <c r="P34" t="str">
        <v>Permanent</v>
      </c>
      <c r="Q34" t="str">
        <v>Hyderabad, India</v>
      </c>
      <c r="R34">
        <v>4.5753424657534243</v>
      </c>
      <c r="S34" t="str">
        <v>Part time</v>
      </c>
    </row>
    <row r="35" spans="7:19" x14ac:dyDescent="0.3">
      <c r="G35" t="str">
        <v>TN03169</v>
      </c>
      <c r="H35" t="str">
        <v>Doe</v>
      </c>
      <c r="I35" t="str">
        <v>Clubley</v>
      </c>
      <c r="J35" t="str">
        <v>Female</v>
      </c>
      <c r="K35" t="str">
        <v>Product Management</v>
      </c>
      <c r="L35">
        <v>67818.14</v>
      </c>
      <c r="M35" t="str">
        <v>50k to 100k</v>
      </c>
      <c r="N35">
        <v>43406</v>
      </c>
      <c r="O35">
        <v>0.6</v>
      </c>
      <c r="P35" t="str">
        <v>Fixed Term</v>
      </c>
      <c r="Q35" t="str">
        <v>Remote</v>
      </c>
      <c r="R35">
        <v>5.6383561643835618</v>
      </c>
      <c r="S35" t="str">
        <v>Part time</v>
      </c>
    </row>
    <row r="36" spans="7:19" x14ac:dyDescent="0.3">
      <c r="G36" t="str">
        <v>TN03169</v>
      </c>
      <c r="H36" t="str">
        <v>Doe</v>
      </c>
      <c r="I36" t="str">
        <v>Clubley</v>
      </c>
      <c r="J36" t="str">
        <v>Female</v>
      </c>
      <c r="K36" t="str">
        <v>Product Management</v>
      </c>
      <c r="L36">
        <v>67818.14</v>
      </c>
      <c r="M36" t="str">
        <v>50k to 100k</v>
      </c>
      <c r="N36">
        <v>43406</v>
      </c>
      <c r="O36">
        <v>0.6</v>
      </c>
      <c r="P36" t="str">
        <v>Fixed Term</v>
      </c>
      <c r="Q36" t="str">
        <v>Remote</v>
      </c>
      <c r="R36">
        <v>5.6383561643835618</v>
      </c>
      <c r="S36" t="str">
        <v>Part time</v>
      </c>
    </row>
    <row r="37" spans="7:19" x14ac:dyDescent="0.3">
      <c r="G37" t="str">
        <v>TN00727</v>
      </c>
      <c r="H37" t="str">
        <v>Dulsea</v>
      </c>
      <c r="I37" t="str">
        <v>Folkes</v>
      </c>
      <c r="J37" t="str">
        <v>Female</v>
      </c>
      <c r="K37" t="str">
        <v>Services</v>
      </c>
      <c r="L37">
        <v>42161.77</v>
      </c>
      <c r="M37" t="str">
        <v>Under 50k</v>
      </c>
      <c r="N37">
        <v>43494</v>
      </c>
      <c r="O37">
        <v>1</v>
      </c>
      <c r="P37" t="str">
        <v>Permanent</v>
      </c>
      <c r="Q37" t="str">
        <v>Auckland, New Zealand</v>
      </c>
      <c r="R37">
        <v>5.397260273972603</v>
      </c>
      <c r="S37" t="str">
        <v>Full time</v>
      </c>
    </row>
    <row r="38" spans="7:19" x14ac:dyDescent="0.3">
      <c r="G38" t="str">
        <v>SQ00914</v>
      </c>
      <c r="H38" t="str">
        <v>Duran</v>
      </c>
      <c r="I38" t="str">
        <v>Appala</v>
      </c>
      <c r="J38" t="str">
        <v>Female</v>
      </c>
      <c r="K38" t="str">
        <v>Product Management</v>
      </c>
      <c r="L38">
        <v>38438.239999999998</v>
      </c>
      <c r="M38" t="str">
        <v>Under 50k</v>
      </c>
      <c r="N38">
        <v>43962</v>
      </c>
      <c r="O38">
        <v>1</v>
      </c>
      <c r="P38" t="str">
        <v>Permanent</v>
      </c>
      <c r="Q38" t="str">
        <v>Chennai, India</v>
      </c>
      <c r="R38">
        <v>4.1150684931506847</v>
      </c>
      <c r="S38" t="str">
        <v>Full time</v>
      </c>
    </row>
    <row r="39" spans="7:19" x14ac:dyDescent="0.3">
      <c r="G39" t="str">
        <v>PR01269</v>
      </c>
      <c r="H39" t="str">
        <v>Eleonore</v>
      </c>
      <c r="I39" t="str">
        <v>Airdrie</v>
      </c>
      <c r="J39" t="str">
        <v>Female</v>
      </c>
      <c r="K39" t="str">
        <v>Engineering</v>
      </c>
      <c r="L39">
        <v>97105.19</v>
      </c>
      <c r="M39" t="str">
        <v>50k to 100k</v>
      </c>
      <c r="N39">
        <v>44425</v>
      </c>
      <c r="O39">
        <v>1</v>
      </c>
      <c r="P39" t="str">
        <v>Permanent</v>
      </c>
      <c r="Q39" t="str">
        <v>Columbus, USA</v>
      </c>
      <c r="R39">
        <v>2.8465753424657536</v>
      </c>
      <c r="S39" t="str">
        <v>Full time</v>
      </c>
    </row>
    <row r="40" spans="7:19" x14ac:dyDescent="0.3">
      <c r="G40" t="str">
        <v>PR02321</v>
      </c>
      <c r="H40" t="str">
        <v>Evanne</v>
      </c>
      <c r="I40" t="str">
        <v>Sheryn</v>
      </c>
      <c r="J40" t="str">
        <v>Female</v>
      </c>
      <c r="K40" t="str">
        <v>Services</v>
      </c>
      <c r="L40">
        <v>81897.789999999994</v>
      </c>
      <c r="M40" t="str">
        <v>50k to 100k</v>
      </c>
      <c r="N40">
        <v>43146</v>
      </c>
      <c r="O40">
        <v>1</v>
      </c>
      <c r="P40" t="str">
        <v>Permanent</v>
      </c>
      <c r="Q40" t="str">
        <v>Auckland, New Zealand</v>
      </c>
      <c r="R40">
        <v>6.3506849315068497</v>
      </c>
      <c r="S40" t="str">
        <v>Full time</v>
      </c>
    </row>
    <row r="41" spans="7:19" x14ac:dyDescent="0.3">
      <c r="G41" t="str">
        <v>SQ03350</v>
      </c>
      <c r="H41" t="str">
        <v>Felice</v>
      </c>
      <c r="I41" t="str">
        <v>McMurty</v>
      </c>
      <c r="J41" t="str">
        <v>Female</v>
      </c>
      <c r="K41" t="str">
        <v>Product Management</v>
      </c>
      <c r="L41">
        <v>66865.490000000005</v>
      </c>
      <c r="M41" t="str">
        <v>50k to 100k</v>
      </c>
      <c r="N41">
        <v>43514</v>
      </c>
      <c r="O41">
        <v>1</v>
      </c>
      <c r="P41" t="str">
        <v>Permanent</v>
      </c>
      <c r="Q41" t="str">
        <v>Seattle, USA</v>
      </c>
      <c r="R41">
        <v>5.3424657534246576</v>
      </c>
      <c r="S41" t="str">
        <v>Full time</v>
      </c>
    </row>
    <row r="42" spans="7:19" x14ac:dyDescent="0.3">
      <c r="G42" t="str">
        <v>SQ03350</v>
      </c>
      <c r="H42" t="str">
        <v>Felice</v>
      </c>
      <c r="I42" t="str">
        <v>McMurty</v>
      </c>
      <c r="J42" t="str">
        <v>Female</v>
      </c>
      <c r="K42" t="str">
        <v>Product Management</v>
      </c>
      <c r="L42">
        <v>66865.490000000005</v>
      </c>
      <c r="M42" t="str">
        <v>50k to 100k</v>
      </c>
      <c r="N42">
        <v>43514</v>
      </c>
      <c r="O42">
        <v>1</v>
      </c>
      <c r="P42" t="str">
        <v>Permanent</v>
      </c>
      <c r="Q42" t="str">
        <v>Seattle, USA</v>
      </c>
      <c r="R42">
        <v>5.3424657534246576</v>
      </c>
      <c r="S42" t="str">
        <v>Full time</v>
      </c>
    </row>
    <row r="43" spans="7:19" x14ac:dyDescent="0.3">
      <c r="G43" t="str">
        <v>SQ03625</v>
      </c>
      <c r="H43" t="str">
        <v>Fidela</v>
      </c>
      <c r="I43" t="str">
        <v>Artis</v>
      </c>
      <c r="J43" t="str">
        <v>Female</v>
      </c>
      <c r="K43" t="str">
        <v>Sales</v>
      </c>
      <c r="L43">
        <v>78020.39</v>
      </c>
      <c r="M43" t="str">
        <v>50k to 100k</v>
      </c>
      <c r="N43">
        <v>43899</v>
      </c>
      <c r="O43">
        <v>1</v>
      </c>
      <c r="P43" t="str">
        <v>Permanent</v>
      </c>
      <c r="Q43" t="str">
        <v>Remote</v>
      </c>
      <c r="R43">
        <v>4.2876712328767121</v>
      </c>
      <c r="S43" t="str">
        <v>Full time</v>
      </c>
    </row>
    <row r="44" spans="7:19" x14ac:dyDescent="0.3">
      <c r="G44" t="str">
        <v>SQ03491</v>
      </c>
      <c r="H44" t="str">
        <v>Freda</v>
      </c>
      <c r="I44" t="str">
        <v>Legan</v>
      </c>
      <c r="J44" t="str">
        <v>Female</v>
      </c>
      <c r="K44" t="str">
        <v>Sales</v>
      </c>
      <c r="L44">
        <v>102129.37</v>
      </c>
      <c r="M44" t="str">
        <v>Above 100k</v>
      </c>
      <c r="N44">
        <v>44396</v>
      </c>
      <c r="O44">
        <v>1</v>
      </c>
      <c r="P44" t="str">
        <v>Permanent</v>
      </c>
      <c r="Q44" t="str">
        <v>Columbus, USA</v>
      </c>
      <c r="R44">
        <v>2.9260273972602739</v>
      </c>
      <c r="S44" t="str">
        <v>Full time</v>
      </c>
    </row>
    <row r="45" spans="7:19" x14ac:dyDescent="0.3">
      <c r="G45" t="str">
        <v>VT01803</v>
      </c>
      <c r="H45" t="str">
        <v>Freddy</v>
      </c>
      <c r="I45" t="str">
        <v>Linford</v>
      </c>
      <c r="J45" t="str">
        <v>Female</v>
      </c>
      <c r="K45" t="str">
        <v>Training</v>
      </c>
      <c r="L45">
        <v>93128.34</v>
      </c>
      <c r="M45" t="str">
        <v>50k to 100k</v>
      </c>
      <c r="N45">
        <v>43164</v>
      </c>
      <c r="O45">
        <v>1</v>
      </c>
      <c r="P45" t="str">
        <v>Fixed Term</v>
      </c>
      <c r="Q45" t="str">
        <v>Seattle, USA</v>
      </c>
      <c r="R45">
        <v>6.3013698630136989</v>
      </c>
      <c r="S45" t="str">
        <v>Full time</v>
      </c>
    </row>
    <row r="46" spans="7:19" x14ac:dyDescent="0.3">
      <c r="G46" t="str">
        <v>TN03032</v>
      </c>
      <c r="H46" t="str">
        <v>Fullara</v>
      </c>
      <c r="I46" t="str">
        <v>Sushanti</v>
      </c>
      <c r="J46" t="str">
        <v>Female</v>
      </c>
      <c r="K46" t="str">
        <v>Research and Development</v>
      </c>
      <c r="L46">
        <v>39700.82</v>
      </c>
      <c r="M46" t="str">
        <v>Under 50k</v>
      </c>
      <c r="N46">
        <v>44203</v>
      </c>
      <c r="O46">
        <v>0.8</v>
      </c>
      <c r="P46" t="str">
        <v>Permanent</v>
      </c>
      <c r="Q46" t="str">
        <v>Chennai, India</v>
      </c>
      <c r="R46">
        <v>3.4547945205479453</v>
      </c>
      <c r="S46" t="str">
        <v>Part time</v>
      </c>
    </row>
    <row r="47" spans="7:19" x14ac:dyDescent="0.3">
      <c r="G47" t="str">
        <v>PR01662</v>
      </c>
      <c r="H47" t="str">
        <v>Genevra</v>
      </c>
      <c r="I47" t="str">
        <v>Friday</v>
      </c>
      <c r="J47" t="str">
        <v>Female</v>
      </c>
      <c r="K47" t="str">
        <v>Research and Development</v>
      </c>
      <c r="L47">
        <v>50449.46</v>
      </c>
      <c r="M47" t="str">
        <v>50k to 100k</v>
      </c>
      <c r="N47">
        <v>43418</v>
      </c>
      <c r="O47">
        <v>0.8</v>
      </c>
      <c r="P47" t="str">
        <v>Permanent</v>
      </c>
      <c r="Q47" t="str">
        <v>Auckland, New Zealand</v>
      </c>
      <c r="R47">
        <v>5.6054794520547944</v>
      </c>
      <c r="S47" t="str">
        <v>Part time</v>
      </c>
    </row>
    <row r="48" spans="7:19" x14ac:dyDescent="0.3">
      <c r="G48" t="str">
        <v>VT01740</v>
      </c>
      <c r="H48" t="str">
        <v>Ginger</v>
      </c>
      <c r="I48" t="str">
        <v>Myott</v>
      </c>
      <c r="J48" t="str">
        <v>Female</v>
      </c>
      <c r="K48" t="str">
        <v>Services</v>
      </c>
      <c r="L48">
        <v>31172.77</v>
      </c>
      <c r="M48" t="str">
        <v>Under 50k</v>
      </c>
      <c r="N48">
        <v>43665</v>
      </c>
      <c r="O48">
        <v>1</v>
      </c>
      <c r="P48" t="str">
        <v>Fixed Term</v>
      </c>
      <c r="Q48" t="str">
        <v>Remote</v>
      </c>
      <c r="R48">
        <v>4.9287671232876713</v>
      </c>
      <c r="S48" t="str">
        <v>Full time</v>
      </c>
    </row>
    <row r="49" spans="7:19" x14ac:dyDescent="0.3">
      <c r="G49" t="str">
        <v>PR02208</v>
      </c>
      <c r="H49" t="str">
        <v>Gowri</v>
      </c>
      <c r="I49" t="str">
        <v>Sankar</v>
      </c>
      <c r="J49" t="str">
        <v>Female</v>
      </c>
      <c r="K49" t="str">
        <v>Training</v>
      </c>
      <c r="L49">
        <v>102934.09</v>
      </c>
      <c r="M49" t="str">
        <v>Above 100k</v>
      </c>
      <c r="N49">
        <v>44315</v>
      </c>
      <c r="O49">
        <v>1</v>
      </c>
      <c r="P49" t="str">
        <v>Permanent</v>
      </c>
      <c r="Q49" t="str">
        <v>Hyderabad, India</v>
      </c>
      <c r="R49">
        <v>3.1479452054794521</v>
      </c>
      <c r="S49" t="str">
        <v>Full time</v>
      </c>
    </row>
    <row r="50" spans="7:19" x14ac:dyDescent="0.3">
      <c r="G50" t="str">
        <v>SQ03321</v>
      </c>
      <c r="H50" t="str">
        <v>Gradey</v>
      </c>
      <c r="I50" t="str">
        <v>Litton</v>
      </c>
      <c r="J50" t="str">
        <v>Female</v>
      </c>
      <c r="K50" t="str">
        <v>Accounting</v>
      </c>
      <c r="L50">
        <v>68887.839999999997</v>
      </c>
      <c r="M50" t="str">
        <v>50k to 100k</v>
      </c>
      <c r="N50">
        <v>43297</v>
      </c>
      <c r="O50">
        <v>1</v>
      </c>
      <c r="P50" t="str">
        <v>Permanent</v>
      </c>
      <c r="Q50" t="str">
        <v>Remote</v>
      </c>
      <c r="R50">
        <v>5.9369863013698634</v>
      </c>
      <c r="S50" t="str">
        <v>Full time</v>
      </c>
    </row>
    <row r="51" spans="7:19" x14ac:dyDescent="0.3">
      <c r="G51" t="str">
        <v>TN02570</v>
      </c>
      <c r="H51" t="str">
        <v>Grady</v>
      </c>
      <c r="I51" t="str">
        <v>Rochelle</v>
      </c>
      <c r="J51" t="str">
        <v>Female</v>
      </c>
      <c r="K51" t="str">
        <v>Accounting</v>
      </c>
      <c r="L51">
        <v>69163.39</v>
      </c>
      <c r="M51" t="str">
        <v>50k to 100k</v>
      </c>
      <c r="N51">
        <v>43397</v>
      </c>
      <c r="O51">
        <v>1</v>
      </c>
      <c r="P51" t="str">
        <v>Permanent</v>
      </c>
      <c r="Q51" t="str">
        <v>Remote</v>
      </c>
      <c r="R51">
        <v>5.6630136986301371</v>
      </c>
      <c r="S51" t="str">
        <v>Full time</v>
      </c>
    </row>
    <row r="52" spans="7:19" x14ac:dyDescent="0.3">
      <c r="G52" t="str">
        <v>TN02570</v>
      </c>
      <c r="H52" t="str">
        <v>Grady</v>
      </c>
      <c r="I52" t="str">
        <v>Rochelle</v>
      </c>
      <c r="J52" t="str">
        <v>Female</v>
      </c>
      <c r="K52" t="str">
        <v>Accounting</v>
      </c>
      <c r="L52">
        <v>69163.39</v>
      </c>
      <c r="M52" t="str">
        <v>50k to 100k</v>
      </c>
      <c r="N52">
        <v>43397</v>
      </c>
      <c r="O52">
        <v>1</v>
      </c>
      <c r="P52" t="str">
        <v>Permanent</v>
      </c>
      <c r="Q52" t="str">
        <v>Remote</v>
      </c>
      <c r="R52">
        <v>5.6630136986301371</v>
      </c>
      <c r="S52" t="str">
        <v>Full time</v>
      </c>
    </row>
    <row r="53" spans="7:19" x14ac:dyDescent="0.3">
      <c r="G53" t="str">
        <v>SQ02624</v>
      </c>
      <c r="H53" t="str">
        <v>Gwenneth</v>
      </c>
      <c r="I53" t="str">
        <v>Fealey</v>
      </c>
      <c r="J53" t="str">
        <v>Female</v>
      </c>
      <c r="K53" t="str">
        <v>Engineering</v>
      </c>
      <c r="L53">
        <v>114772.32</v>
      </c>
      <c r="M53" t="str">
        <v>Above 100k</v>
      </c>
      <c r="N53">
        <v>44251</v>
      </c>
      <c r="O53">
        <v>1</v>
      </c>
      <c r="P53" t="str">
        <v>Permanent</v>
      </c>
      <c r="Q53" t="str">
        <v>Columbus, USA</v>
      </c>
      <c r="R53">
        <v>3.3232876712328765</v>
      </c>
      <c r="S53" t="str">
        <v>Full time</v>
      </c>
    </row>
    <row r="54" spans="7:19" x14ac:dyDescent="0.3">
      <c r="G54" t="str">
        <v>TN00214</v>
      </c>
      <c r="H54" t="str">
        <v>Hemavati</v>
      </c>
      <c r="I54" t="str">
        <v>Muthiah</v>
      </c>
      <c r="J54" t="str">
        <v>Female</v>
      </c>
      <c r="K54" t="str">
        <v>Training</v>
      </c>
      <c r="L54">
        <v>37902.35</v>
      </c>
      <c r="M54" t="str">
        <v>Under 50k</v>
      </c>
      <c r="N54">
        <v>43823</v>
      </c>
      <c r="O54">
        <v>1</v>
      </c>
      <c r="P54" t="str">
        <v>Permanent</v>
      </c>
      <c r="Q54" t="str">
        <v>Chennai, India</v>
      </c>
      <c r="R54">
        <v>4.4958904109589044</v>
      </c>
      <c r="S54" t="str">
        <v>Full time</v>
      </c>
    </row>
    <row r="55" spans="7:19" x14ac:dyDescent="0.3">
      <c r="G55" t="str">
        <v>SQ04437</v>
      </c>
      <c r="H55" t="str">
        <v>Hephzibah</v>
      </c>
      <c r="I55" t="str">
        <v>Summerell</v>
      </c>
      <c r="J55" t="str">
        <v>Female</v>
      </c>
      <c r="K55" t="str">
        <v>Services</v>
      </c>
      <c r="L55">
        <v>28305.08</v>
      </c>
      <c r="M55" t="str">
        <v>Under 50k</v>
      </c>
      <c r="N55">
        <v>43754</v>
      </c>
      <c r="O55">
        <v>1</v>
      </c>
      <c r="P55" t="str">
        <v>Permanent</v>
      </c>
      <c r="Q55" t="str">
        <v>Remote</v>
      </c>
      <c r="R55">
        <v>4.6849315068493151</v>
      </c>
      <c r="S55" t="str">
        <v>Full time</v>
      </c>
    </row>
    <row r="56" spans="7:19" x14ac:dyDescent="0.3">
      <c r="G56" t="str">
        <v>TN04175</v>
      </c>
      <c r="H56" t="str">
        <v>Hinda</v>
      </c>
      <c r="I56" t="str">
        <v>Label</v>
      </c>
      <c r="J56" t="str">
        <v>Female</v>
      </c>
      <c r="K56" t="str">
        <v>Human Resources</v>
      </c>
      <c r="L56">
        <v>92704.48</v>
      </c>
      <c r="M56" t="str">
        <v>50k to 100k</v>
      </c>
      <c r="N56">
        <v>43430</v>
      </c>
      <c r="O56">
        <v>1</v>
      </c>
      <c r="P56" t="str">
        <v>Fixed Term</v>
      </c>
      <c r="Q56" t="str">
        <v>Columbus, USA</v>
      </c>
      <c r="R56">
        <v>5.5726027397260278</v>
      </c>
      <c r="S56" t="str">
        <v>Full time</v>
      </c>
    </row>
    <row r="57" spans="7:19" x14ac:dyDescent="0.3">
      <c r="G57" t="str">
        <v>PR00746</v>
      </c>
      <c r="H57" t="str">
        <v>Hogan</v>
      </c>
      <c r="I57" t="str">
        <v>Iles</v>
      </c>
      <c r="J57" t="str">
        <v>Female</v>
      </c>
      <c r="K57" t="str">
        <v>Accounting</v>
      </c>
      <c r="L57">
        <v>114177.23</v>
      </c>
      <c r="M57" t="str">
        <v>Above 100k</v>
      </c>
      <c r="N57">
        <v>43908</v>
      </c>
      <c r="O57">
        <v>1</v>
      </c>
      <c r="P57" t="str">
        <v>Permanent</v>
      </c>
      <c r="Q57" t="str">
        <v>Wellington, New Zealand</v>
      </c>
      <c r="R57">
        <v>4.2630136986301368</v>
      </c>
      <c r="S57" t="str">
        <v>Full time</v>
      </c>
    </row>
    <row r="58" spans="7:19" x14ac:dyDescent="0.3">
      <c r="G58" t="str">
        <v>TN04775</v>
      </c>
      <c r="H58" t="str">
        <v>Hridaynath</v>
      </c>
      <c r="I58" t="str">
        <v>Tendulkar</v>
      </c>
      <c r="J58" t="str">
        <v>Female</v>
      </c>
      <c r="K58" t="str">
        <v>Legal</v>
      </c>
      <c r="L58">
        <v>31089.22</v>
      </c>
      <c r="M58" t="str">
        <v>Under 50k</v>
      </c>
      <c r="N58">
        <v>43776</v>
      </c>
      <c r="O58">
        <v>1</v>
      </c>
      <c r="P58" t="str">
        <v>Fixed Term</v>
      </c>
      <c r="Q58" t="str">
        <v>Chennai, India</v>
      </c>
      <c r="R58">
        <v>4.624657534246575</v>
      </c>
      <c r="S58" t="str">
        <v>Full time</v>
      </c>
    </row>
    <row r="59" spans="7:19" x14ac:dyDescent="0.3">
      <c r="G59" t="str">
        <v>PR00246</v>
      </c>
      <c r="H59" t="str">
        <v>Husein</v>
      </c>
      <c r="I59" t="str">
        <v>Augar</v>
      </c>
      <c r="J59" t="str">
        <v>Female</v>
      </c>
      <c r="K59" t="str">
        <v>Marketing</v>
      </c>
      <c r="L59">
        <v>67905.8</v>
      </c>
      <c r="M59" t="str">
        <v>50k to 100k</v>
      </c>
      <c r="N59">
        <v>44194</v>
      </c>
      <c r="O59">
        <v>1</v>
      </c>
      <c r="P59" t="str">
        <v>Permanent</v>
      </c>
      <c r="Q59" t="str">
        <v>Remote</v>
      </c>
      <c r="R59">
        <v>3.4794520547945207</v>
      </c>
      <c r="S59" t="str">
        <v>Full time</v>
      </c>
    </row>
    <row r="60" spans="7:19" x14ac:dyDescent="0.3">
      <c r="G60" t="str">
        <v>SQ00286</v>
      </c>
      <c r="H60" t="str">
        <v>Ilesh</v>
      </c>
      <c r="I60" t="str">
        <v>Dasgupta</v>
      </c>
      <c r="J60" t="str">
        <v>Female</v>
      </c>
      <c r="K60" t="str">
        <v>Legal</v>
      </c>
      <c r="L60">
        <v>61213.01</v>
      </c>
      <c r="M60" t="str">
        <v>50k to 100k</v>
      </c>
      <c r="N60">
        <v>44365</v>
      </c>
      <c r="O60">
        <v>1</v>
      </c>
      <c r="P60" t="str">
        <v>Permanent</v>
      </c>
      <c r="Q60" t="str">
        <v>Chennai, India</v>
      </c>
      <c r="R60">
        <v>3.010958904109589</v>
      </c>
      <c r="S60" t="str">
        <v>Full time</v>
      </c>
    </row>
    <row r="61" spans="7:19" x14ac:dyDescent="0.3">
      <c r="G61" t="str">
        <v>SQ02643</v>
      </c>
      <c r="H61" t="str">
        <v>Indu</v>
      </c>
      <c r="I61" t="str">
        <v>Varada</v>
      </c>
      <c r="J61" t="str">
        <v>Female</v>
      </c>
      <c r="K61" t="str">
        <v>Engineering</v>
      </c>
      <c r="L61">
        <v>88425.08</v>
      </c>
      <c r="M61" t="str">
        <v>50k to 100k</v>
      </c>
      <c r="N61">
        <v>43662</v>
      </c>
      <c r="O61">
        <v>1</v>
      </c>
      <c r="P61" t="str">
        <v>Permanent</v>
      </c>
      <c r="Q61" t="str">
        <v>Hyderabad, India</v>
      </c>
      <c r="R61">
        <v>4.9369863013698634</v>
      </c>
      <c r="S61" t="str">
        <v>Full time</v>
      </c>
    </row>
    <row r="62" spans="7:19" x14ac:dyDescent="0.3">
      <c r="G62" t="str">
        <v>SQ03024</v>
      </c>
      <c r="H62" t="str">
        <v>Inge</v>
      </c>
      <c r="I62" t="str">
        <v>Creer</v>
      </c>
      <c r="J62" t="str">
        <v>Female</v>
      </c>
      <c r="K62" t="str">
        <v>Services</v>
      </c>
      <c r="L62">
        <v>69057.320000000007</v>
      </c>
      <c r="M62" t="str">
        <v>50k to 100k</v>
      </c>
      <c r="N62">
        <v>43390</v>
      </c>
      <c r="O62">
        <v>1</v>
      </c>
      <c r="P62" t="str">
        <v>Permanent</v>
      </c>
      <c r="Q62" t="str">
        <v>Wellington, New Zealand</v>
      </c>
      <c r="R62">
        <v>5.6821917808219178</v>
      </c>
      <c r="S62" t="str">
        <v>Full time</v>
      </c>
    </row>
    <row r="63" spans="7:19" x14ac:dyDescent="0.3">
      <c r="G63" t="str">
        <v>SQ03024</v>
      </c>
      <c r="H63" t="str">
        <v>Inge</v>
      </c>
      <c r="I63" t="str">
        <v>Creer</v>
      </c>
      <c r="J63" t="str">
        <v>Female</v>
      </c>
      <c r="K63" t="str">
        <v>Services</v>
      </c>
      <c r="L63">
        <v>69057.320000000007</v>
      </c>
      <c r="M63" t="str">
        <v>50k to 100k</v>
      </c>
      <c r="N63">
        <v>43390</v>
      </c>
      <c r="O63">
        <v>1</v>
      </c>
      <c r="P63" t="str">
        <v>Permanent</v>
      </c>
      <c r="Q63" t="str">
        <v>Wellington, New Zealand</v>
      </c>
      <c r="R63">
        <v>5.6821917808219178</v>
      </c>
      <c r="S63" t="str">
        <v>Full time</v>
      </c>
    </row>
    <row r="64" spans="7:19" x14ac:dyDescent="0.3">
      <c r="G64" t="str">
        <v>PR00916</v>
      </c>
      <c r="H64" t="str">
        <v>Inger</v>
      </c>
      <c r="I64" t="str">
        <v>Chapelhow</v>
      </c>
      <c r="J64" t="str">
        <v>Female</v>
      </c>
      <c r="K64" t="str">
        <v>Research and Development</v>
      </c>
      <c r="L64">
        <v>84309.95</v>
      </c>
      <c r="M64" t="str">
        <v>50k to 100k</v>
      </c>
      <c r="N64">
        <v>44501</v>
      </c>
      <c r="O64">
        <v>1</v>
      </c>
      <c r="P64" t="str">
        <v>Permanent</v>
      </c>
      <c r="Q64" t="str">
        <v>Remote</v>
      </c>
      <c r="R64">
        <v>2.6383561643835618</v>
      </c>
      <c r="S64" t="str">
        <v>Full time</v>
      </c>
    </row>
    <row r="65" spans="7:19" x14ac:dyDescent="0.3">
      <c r="G65" t="str">
        <v>PR02016</v>
      </c>
      <c r="H65" t="str">
        <v>Iris</v>
      </c>
      <c r="I65" t="str">
        <v>Wagg</v>
      </c>
      <c r="J65" t="str">
        <v>Female</v>
      </c>
      <c r="K65" t="str">
        <v>Engineering</v>
      </c>
      <c r="L65">
        <v>58861.19</v>
      </c>
      <c r="M65" t="str">
        <v>50k to 100k</v>
      </c>
      <c r="N65">
        <v>43654</v>
      </c>
      <c r="O65">
        <v>1</v>
      </c>
      <c r="P65" t="str">
        <v>Permanent</v>
      </c>
      <c r="Q65" t="str">
        <v>Columbus, USA</v>
      </c>
      <c r="R65">
        <v>4.9589041095890414</v>
      </c>
      <c r="S65" t="str">
        <v>Full time</v>
      </c>
    </row>
    <row r="66" spans="7:19" x14ac:dyDescent="0.3">
      <c r="G66" t="str">
        <v>TN03032</v>
      </c>
      <c r="H66" t="str">
        <v>Jaipal</v>
      </c>
      <c r="I66" t="str">
        <v>Potanapudi</v>
      </c>
      <c r="J66" t="str">
        <v>Female</v>
      </c>
      <c r="K66" t="str">
        <v>Research and Development</v>
      </c>
      <c r="L66">
        <v>39700.82</v>
      </c>
      <c r="M66" t="str">
        <v>Under 50k</v>
      </c>
      <c r="N66">
        <v>44203</v>
      </c>
      <c r="O66">
        <v>0.8</v>
      </c>
      <c r="P66" t="str">
        <v>Permanent</v>
      </c>
      <c r="Q66" t="str">
        <v>Chennai, India</v>
      </c>
      <c r="R66">
        <v>3.4547945205479453</v>
      </c>
      <c r="S66" t="str">
        <v>Part time</v>
      </c>
    </row>
    <row r="67" spans="7:19" x14ac:dyDescent="0.3">
      <c r="G67" t="str">
        <v>TN03575</v>
      </c>
      <c r="H67" t="str">
        <v>Janina</v>
      </c>
      <c r="I67" t="str">
        <v>Wolverson</v>
      </c>
      <c r="J67" t="str">
        <v>Female</v>
      </c>
      <c r="K67" t="str">
        <v>Research and Development</v>
      </c>
      <c r="L67">
        <v>99683.67</v>
      </c>
      <c r="M67" t="str">
        <v>50k to 100k</v>
      </c>
      <c r="N67">
        <v>43500</v>
      </c>
      <c r="O67">
        <v>1</v>
      </c>
      <c r="P67" t="str">
        <v>Fixed Term</v>
      </c>
      <c r="Q67" t="str">
        <v>Seattle, USA</v>
      </c>
      <c r="R67">
        <v>5.3808219178082188</v>
      </c>
      <c r="S67" t="str">
        <v>Full time</v>
      </c>
    </row>
    <row r="68" spans="7:19" x14ac:dyDescent="0.3">
      <c r="G68" t="str">
        <v>TN03575</v>
      </c>
      <c r="H68" t="str">
        <v>Janina</v>
      </c>
      <c r="I68" t="str">
        <v>Wolverson</v>
      </c>
      <c r="J68" t="str">
        <v>Female</v>
      </c>
      <c r="K68" t="str">
        <v>Research and Development</v>
      </c>
      <c r="L68">
        <v>99683.67</v>
      </c>
      <c r="M68" t="str">
        <v>50k to 100k</v>
      </c>
      <c r="N68">
        <v>43500</v>
      </c>
      <c r="O68">
        <v>1</v>
      </c>
      <c r="P68" t="str">
        <v>Fixed Term</v>
      </c>
      <c r="Q68" t="str">
        <v>Seattle, USA</v>
      </c>
      <c r="R68">
        <v>5.3808219178082188</v>
      </c>
      <c r="S68" t="str">
        <v>Full time</v>
      </c>
    </row>
    <row r="69" spans="7:19" x14ac:dyDescent="0.3">
      <c r="G69" t="str">
        <v>TN00328</v>
      </c>
      <c r="H69" t="str">
        <v>Jeannie</v>
      </c>
      <c r="I69" t="str">
        <v>Petracco</v>
      </c>
      <c r="J69" t="str">
        <v>Female</v>
      </c>
      <c r="K69" t="str">
        <v>Engineering</v>
      </c>
      <c r="L69">
        <v>94815.28</v>
      </c>
      <c r="M69" t="str">
        <v>50k to 100k</v>
      </c>
      <c r="N69">
        <v>43440</v>
      </c>
      <c r="O69">
        <v>1</v>
      </c>
      <c r="P69" t="str">
        <v>Permanent</v>
      </c>
      <c r="Q69" t="str">
        <v>Seattle, USA</v>
      </c>
      <c r="R69">
        <v>5.5452054794520551</v>
      </c>
      <c r="S69" t="str">
        <v>Full time</v>
      </c>
    </row>
    <row r="70" spans="7:19" x14ac:dyDescent="0.3">
      <c r="G70" t="str">
        <v>SQ01854</v>
      </c>
      <c r="H70" t="str">
        <v>Jessica</v>
      </c>
      <c r="I70" t="str">
        <v>Callcott</v>
      </c>
      <c r="J70" t="str">
        <v>Female</v>
      </c>
      <c r="K70" t="str">
        <v>Marketing</v>
      </c>
      <c r="L70">
        <v>66017.179999999993</v>
      </c>
      <c r="M70" t="str">
        <v>50k to 100k</v>
      </c>
      <c r="N70">
        <v>43643</v>
      </c>
      <c r="O70">
        <v>0.9</v>
      </c>
      <c r="P70" t="str">
        <v>Permanent</v>
      </c>
      <c r="Q70" t="str">
        <v>Remote</v>
      </c>
      <c r="R70">
        <v>4.9890410958904106</v>
      </c>
      <c r="S70" t="str">
        <v>Part time</v>
      </c>
    </row>
    <row r="71" spans="7:19" x14ac:dyDescent="0.3">
      <c r="G71" t="str">
        <v>TN02883</v>
      </c>
      <c r="H71" t="str">
        <v>John</v>
      </c>
      <c r="I71" t="str">
        <v>Joseph</v>
      </c>
      <c r="J71" t="str">
        <v>Female</v>
      </c>
      <c r="K71" t="str">
        <v>Sales</v>
      </c>
      <c r="L71">
        <v>84762.76</v>
      </c>
      <c r="M71" t="str">
        <v>50k to 100k</v>
      </c>
      <c r="N71">
        <v>43332</v>
      </c>
      <c r="O71">
        <v>1</v>
      </c>
      <c r="P71" t="str">
        <v>Permanent</v>
      </c>
      <c r="Q71" t="str">
        <v>Hyderabad, India</v>
      </c>
      <c r="R71">
        <v>5.8410958904109593</v>
      </c>
      <c r="S71" t="str">
        <v>Full time</v>
      </c>
    </row>
    <row r="72" spans="7:19" x14ac:dyDescent="0.3">
      <c r="G72" t="str">
        <v>TN00258</v>
      </c>
      <c r="H72" t="str">
        <v>Joyce</v>
      </c>
      <c r="I72" t="str">
        <v>Leyband</v>
      </c>
      <c r="J72" t="str">
        <v>Female</v>
      </c>
      <c r="K72" t="str">
        <v>Product Management</v>
      </c>
      <c r="L72">
        <v>68197.899999999994</v>
      </c>
      <c r="M72" t="str">
        <v>50k to 100k</v>
      </c>
      <c r="N72">
        <v>44119</v>
      </c>
      <c r="O72">
        <v>1</v>
      </c>
      <c r="P72" t="str">
        <v>Permanent</v>
      </c>
      <c r="Q72" t="str">
        <v>Auckland, New Zealand</v>
      </c>
      <c r="R72">
        <v>3.6849315068493151</v>
      </c>
      <c r="S72" t="str">
        <v>Full time</v>
      </c>
    </row>
    <row r="73" spans="7:19" x14ac:dyDescent="0.3">
      <c r="G73" t="str">
        <v>SQ02582</v>
      </c>
      <c r="H73" t="str">
        <v>Kaishori</v>
      </c>
      <c r="I73" t="str">
        <v>Harathi</v>
      </c>
      <c r="J73" t="str">
        <v>Female</v>
      </c>
      <c r="K73" t="str">
        <v>Product Management</v>
      </c>
      <c r="L73">
        <v>51798.25</v>
      </c>
      <c r="M73" t="str">
        <v>50k to 100k</v>
      </c>
      <c r="N73">
        <v>43665</v>
      </c>
      <c r="O73">
        <v>1</v>
      </c>
      <c r="P73" t="str">
        <v>Permanent</v>
      </c>
      <c r="Q73" t="str">
        <v>Hyderabad, India</v>
      </c>
      <c r="R73">
        <v>4.9287671232876713</v>
      </c>
      <c r="S73" t="str">
        <v>Full time</v>
      </c>
    </row>
    <row r="74" spans="7:19" x14ac:dyDescent="0.3">
      <c r="G74" t="str">
        <v>SQ00914</v>
      </c>
      <c r="H74" t="str">
        <v>Karuna</v>
      </c>
      <c r="I74" t="str">
        <v>Pashupathy</v>
      </c>
      <c r="J74" t="str">
        <v>Female</v>
      </c>
      <c r="K74" t="str">
        <v>Product Management</v>
      </c>
      <c r="L74">
        <v>38438.239999999998</v>
      </c>
      <c r="M74" t="str">
        <v>Under 50k</v>
      </c>
      <c r="N74">
        <v>43962</v>
      </c>
      <c r="O74">
        <v>1</v>
      </c>
      <c r="P74" t="str">
        <v>Permanent</v>
      </c>
      <c r="Q74" t="str">
        <v>Chennai, India</v>
      </c>
      <c r="R74">
        <v>4.1150684931506847</v>
      </c>
      <c r="S74" t="str">
        <v>Full time</v>
      </c>
    </row>
    <row r="75" spans="7:19" x14ac:dyDescent="0.3">
      <c r="G75" t="str">
        <v>SQ02565</v>
      </c>
      <c r="H75" t="str">
        <v>Konstantin</v>
      </c>
      <c r="I75" t="str">
        <v>Timblett</v>
      </c>
      <c r="J75" t="str">
        <v>Female</v>
      </c>
      <c r="K75" t="str">
        <v>Training</v>
      </c>
      <c r="L75">
        <v>56253.81</v>
      </c>
      <c r="M75" t="str">
        <v>50k to 100k</v>
      </c>
      <c r="N75">
        <v>44421</v>
      </c>
      <c r="O75">
        <v>1</v>
      </c>
      <c r="P75" t="str">
        <v>Permanent</v>
      </c>
      <c r="Q75" t="str">
        <v>Auckland, New Zealand</v>
      </c>
      <c r="R75">
        <v>2.8575342465753426</v>
      </c>
      <c r="S75" t="str">
        <v>Full time</v>
      </c>
    </row>
    <row r="76" spans="7:19" x14ac:dyDescent="0.3">
      <c r="G76" t="str">
        <v>SQ03626</v>
      </c>
      <c r="H76" t="str">
        <v>Krishnakanta</v>
      </c>
      <c r="I76" t="str">
        <v>Vellanki</v>
      </c>
      <c r="J76" t="str">
        <v>Female</v>
      </c>
      <c r="K76" t="str">
        <v>Training</v>
      </c>
      <c r="L76">
        <v>95677.9</v>
      </c>
      <c r="M76" t="str">
        <v>50k to 100k</v>
      </c>
      <c r="N76">
        <v>44396</v>
      </c>
      <c r="O76">
        <v>0.3</v>
      </c>
      <c r="P76" t="str">
        <v>Permanent</v>
      </c>
      <c r="Q76" t="str">
        <v>Chennai, India</v>
      </c>
      <c r="R76">
        <v>2.9260273972602739</v>
      </c>
      <c r="S76" t="str">
        <v>Part time</v>
      </c>
    </row>
    <row r="77" spans="7:19" x14ac:dyDescent="0.3">
      <c r="G77" t="str">
        <v>TN02798</v>
      </c>
      <c r="H77" t="str">
        <v>Krittika</v>
      </c>
      <c r="I77" t="str">
        <v>Gaekwad</v>
      </c>
      <c r="J77" t="str">
        <v>Female</v>
      </c>
      <c r="K77" t="str">
        <v>Business Development</v>
      </c>
      <c r="L77">
        <v>33031.26</v>
      </c>
      <c r="M77" t="str">
        <v>Under 50k</v>
      </c>
      <c r="N77">
        <v>43468</v>
      </c>
      <c r="O77">
        <v>0.4</v>
      </c>
      <c r="P77" t="str">
        <v>Permanent</v>
      </c>
      <c r="Q77" t="str">
        <v>Hyderabad, India</v>
      </c>
      <c r="R77">
        <v>5.4684931506849317</v>
      </c>
      <c r="S77" t="str">
        <v>Part time</v>
      </c>
    </row>
    <row r="78" spans="7:19" x14ac:dyDescent="0.3">
      <c r="G78" t="str">
        <v>VT01610</v>
      </c>
      <c r="H78" t="str">
        <v>Kunja</v>
      </c>
      <c r="I78" t="str">
        <v>Prashanta</v>
      </c>
      <c r="J78" t="str">
        <v>Female</v>
      </c>
      <c r="K78" t="str">
        <v>Accounting</v>
      </c>
      <c r="L78">
        <v>76303.820000000007</v>
      </c>
      <c r="M78" t="str">
        <v>50k to 100k</v>
      </c>
      <c r="N78">
        <v>43458</v>
      </c>
      <c r="O78">
        <v>1</v>
      </c>
      <c r="P78" t="str">
        <v>Fixed Term</v>
      </c>
      <c r="Q78" t="str">
        <v>Hyderabad, India</v>
      </c>
      <c r="R78">
        <v>5.4958904109589044</v>
      </c>
      <c r="S78" t="str">
        <v>Full time</v>
      </c>
    </row>
    <row r="79" spans="7:19" x14ac:dyDescent="0.3">
      <c r="G79" t="str">
        <v>PR00576</v>
      </c>
      <c r="H79" t="str">
        <v>Lalitchandra</v>
      </c>
      <c r="I79" t="str">
        <v>Vadali</v>
      </c>
      <c r="J79" t="str">
        <v>Female</v>
      </c>
      <c r="K79" t="str">
        <v>Legal</v>
      </c>
      <c r="L79">
        <v>63705.4</v>
      </c>
      <c r="M79" t="str">
        <v>50k to 100k</v>
      </c>
      <c r="N79">
        <v>43682</v>
      </c>
      <c r="O79">
        <v>1</v>
      </c>
      <c r="P79" t="str">
        <v>Permanent</v>
      </c>
      <c r="Q79" t="str">
        <v>Hyderabad, India</v>
      </c>
      <c r="R79">
        <v>4.882191780821918</v>
      </c>
      <c r="S79" t="str">
        <v>Full time</v>
      </c>
    </row>
    <row r="80" spans="7:19" x14ac:dyDescent="0.3">
      <c r="G80" t="str">
        <v>TN04067</v>
      </c>
      <c r="H80" t="str">
        <v>Lea</v>
      </c>
      <c r="I80" t="str">
        <v>Chaplin</v>
      </c>
      <c r="J80" t="str">
        <v>Female</v>
      </c>
      <c r="K80" t="str">
        <v>Human Resources</v>
      </c>
      <c r="L80">
        <v>73488.679999999993</v>
      </c>
      <c r="M80" t="str">
        <v>50k to 100k</v>
      </c>
      <c r="N80">
        <v>43570</v>
      </c>
      <c r="O80">
        <v>1</v>
      </c>
      <c r="P80" t="str">
        <v>Fixed Term</v>
      </c>
      <c r="Q80" t="str">
        <v>Seattle, USA</v>
      </c>
      <c r="R80">
        <v>5.1890410958904107</v>
      </c>
      <c r="S80" t="str">
        <v>Full time</v>
      </c>
    </row>
    <row r="81" spans="7:19" x14ac:dyDescent="0.3">
      <c r="G81" t="str">
        <v>VT00596</v>
      </c>
      <c r="H81" t="str">
        <v>Letisha</v>
      </c>
      <c r="I81" t="str">
        <v>Carrett</v>
      </c>
      <c r="J81" t="str">
        <v>Female</v>
      </c>
      <c r="K81" t="str">
        <v>Sales</v>
      </c>
      <c r="L81">
        <v>84598.88</v>
      </c>
      <c r="M81" t="str">
        <v>50k to 100k</v>
      </c>
      <c r="N81">
        <v>44116</v>
      </c>
      <c r="O81">
        <v>1</v>
      </c>
      <c r="P81" t="str">
        <v>Fixed Term</v>
      </c>
      <c r="Q81" t="str">
        <v>Seattle, USA</v>
      </c>
      <c r="R81">
        <v>3.6931506849315068</v>
      </c>
      <c r="S81" t="str">
        <v>Full time</v>
      </c>
    </row>
    <row r="82" spans="7:19" x14ac:dyDescent="0.3">
      <c r="G82" t="str">
        <v>VT00596</v>
      </c>
      <c r="H82" t="str">
        <v>Letisha</v>
      </c>
      <c r="I82" t="str">
        <v>Carrett</v>
      </c>
      <c r="J82" t="str">
        <v>Female</v>
      </c>
      <c r="K82" t="str">
        <v>Sales</v>
      </c>
      <c r="L82">
        <v>84598.88</v>
      </c>
      <c r="M82" t="str">
        <v>50k to 100k</v>
      </c>
      <c r="N82">
        <v>44116</v>
      </c>
      <c r="O82">
        <v>1</v>
      </c>
      <c r="P82" t="str">
        <v>Fixed Term</v>
      </c>
      <c r="Q82" t="str">
        <v>Seattle, USA</v>
      </c>
      <c r="R82">
        <v>3.6931506849315068</v>
      </c>
      <c r="S82" t="str">
        <v>Full time</v>
      </c>
    </row>
    <row r="83" spans="7:19" x14ac:dyDescent="0.3">
      <c r="G83" t="str">
        <v>PR02275</v>
      </c>
      <c r="H83" t="str">
        <v>Louise</v>
      </c>
      <c r="I83" t="str">
        <v>Lamming</v>
      </c>
      <c r="J83" t="str">
        <v>Female</v>
      </c>
      <c r="K83" t="str">
        <v>Sales</v>
      </c>
      <c r="L83">
        <v>41934.71</v>
      </c>
      <c r="M83" t="str">
        <v>Under 50k</v>
      </c>
      <c r="N83">
        <v>43780</v>
      </c>
      <c r="O83">
        <v>1</v>
      </c>
      <c r="P83" t="str">
        <v>Permanent</v>
      </c>
      <c r="Q83" t="str">
        <v>Remote</v>
      </c>
      <c r="R83">
        <v>4.6136986301369864</v>
      </c>
      <c r="S83" t="str">
        <v>Full time</v>
      </c>
    </row>
    <row r="84" spans="7:19" x14ac:dyDescent="0.3">
      <c r="G84" t="str">
        <v>SQ00450</v>
      </c>
      <c r="H84" t="str">
        <v>Louise</v>
      </c>
      <c r="I84" t="str">
        <v>Lamming</v>
      </c>
      <c r="J84" t="str">
        <v>Female</v>
      </c>
      <c r="K84" t="str">
        <v>Sales</v>
      </c>
      <c r="L84">
        <v>41934.71</v>
      </c>
      <c r="M84" t="str">
        <v>Under 50k</v>
      </c>
      <c r="N84">
        <v>43943</v>
      </c>
      <c r="O84">
        <v>1</v>
      </c>
      <c r="P84" t="str">
        <v>Permanent</v>
      </c>
      <c r="Q84" t="str">
        <v>Remote</v>
      </c>
      <c r="R84">
        <v>4.1671232876712327</v>
      </c>
      <c r="S84" t="str">
        <v>Full time</v>
      </c>
    </row>
    <row r="85" spans="7:19" x14ac:dyDescent="0.3">
      <c r="G85" t="str">
        <v>VT00578</v>
      </c>
      <c r="H85" t="str">
        <v>Magnum</v>
      </c>
      <c r="I85" t="str">
        <v>Locksley</v>
      </c>
      <c r="J85" t="str">
        <v>Female</v>
      </c>
      <c r="K85" t="str">
        <v>Services</v>
      </c>
      <c r="L85">
        <v>42314.39</v>
      </c>
      <c r="M85" t="str">
        <v>Under 50k</v>
      </c>
      <c r="N85">
        <v>44487</v>
      </c>
      <c r="O85">
        <v>1</v>
      </c>
      <c r="P85" t="str">
        <v>Fixed Term</v>
      </c>
      <c r="Q85" t="str">
        <v>Remote</v>
      </c>
      <c r="R85">
        <v>2.6767123287671235</v>
      </c>
      <c r="S85" t="str">
        <v>Full time</v>
      </c>
    </row>
    <row r="86" spans="7:19" x14ac:dyDescent="0.3">
      <c r="G86" t="str">
        <v>VT04415</v>
      </c>
      <c r="H86" t="str">
        <v>Malory</v>
      </c>
      <c r="I86" t="str">
        <v>Biles</v>
      </c>
      <c r="J86" t="str">
        <v>Female</v>
      </c>
      <c r="K86" t="str">
        <v>Training</v>
      </c>
      <c r="L86">
        <v>58744.17</v>
      </c>
      <c r="M86" t="str">
        <v>50k to 100k</v>
      </c>
      <c r="N86">
        <v>43171</v>
      </c>
      <c r="O86">
        <v>1</v>
      </c>
      <c r="P86" t="str">
        <v>Temporary</v>
      </c>
      <c r="Q86" t="str">
        <v>Columbus, USA</v>
      </c>
      <c r="R86">
        <v>6.2821917808219174</v>
      </c>
      <c r="S86" t="str">
        <v>Full time</v>
      </c>
    </row>
    <row r="87" spans="7:19" x14ac:dyDescent="0.3">
      <c r="G87" t="str">
        <v>VT01323</v>
      </c>
      <c r="H87" t="str">
        <v>Mardav</v>
      </c>
      <c r="I87" t="str">
        <v>Ramaswami</v>
      </c>
      <c r="J87" t="str">
        <v>Female</v>
      </c>
      <c r="K87" t="str">
        <v>Business Development</v>
      </c>
      <c r="L87">
        <v>86233.83</v>
      </c>
      <c r="M87" t="str">
        <v>50k to 100k</v>
      </c>
      <c r="N87">
        <v>43706</v>
      </c>
      <c r="O87">
        <v>1</v>
      </c>
      <c r="P87" t="str">
        <v>Fixed Term</v>
      </c>
      <c r="Q87" t="str">
        <v>Chennai, India</v>
      </c>
      <c r="R87">
        <v>4.816438356164384</v>
      </c>
      <c r="S87" t="str">
        <v>Full time</v>
      </c>
    </row>
    <row r="88" spans="7:19" x14ac:dyDescent="0.3">
      <c r="G88" t="str">
        <v>PR02436</v>
      </c>
      <c r="H88" t="str">
        <v>Marmaduke</v>
      </c>
      <c r="I88" t="str">
        <v>Worssam</v>
      </c>
      <c r="J88" t="str">
        <v>Female</v>
      </c>
      <c r="K88" t="str">
        <v>Engineering</v>
      </c>
      <c r="L88">
        <v>78378.2</v>
      </c>
      <c r="M88" t="str">
        <v>50k to 100k</v>
      </c>
      <c r="N88">
        <v>43465</v>
      </c>
      <c r="O88">
        <v>0.4</v>
      </c>
      <c r="P88" t="str">
        <v>Permanent</v>
      </c>
      <c r="Q88" t="str">
        <v>Remote</v>
      </c>
      <c r="R88">
        <v>5.4767123287671229</v>
      </c>
      <c r="S88" t="str">
        <v>Part time</v>
      </c>
    </row>
    <row r="89" spans="7:19" x14ac:dyDescent="0.3">
      <c r="G89" t="str">
        <v>TN00890</v>
      </c>
      <c r="H89" t="str">
        <v>Mayur</v>
      </c>
      <c r="I89" t="str">
        <v>Kousika</v>
      </c>
      <c r="J89" t="str">
        <v>Female</v>
      </c>
      <c r="K89" t="str">
        <v>Training</v>
      </c>
      <c r="L89">
        <v>71570.990000000005</v>
      </c>
      <c r="M89" t="str">
        <v>50k to 100k</v>
      </c>
      <c r="N89">
        <v>44249</v>
      </c>
      <c r="O89">
        <v>0.5</v>
      </c>
      <c r="P89" t="str">
        <v>Permanent</v>
      </c>
      <c r="Q89" t="str">
        <v>Hyderabad, India</v>
      </c>
      <c r="R89">
        <v>3.3287671232876712</v>
      </c>
      <c r="S89" t="str">
        <v>Part time</v>
      </c>
    </row>
    <row r="90" spans="7:19" x14ac:dyDescent="0.3">
      <c r="G90" t="str">
        <v>TN01601</v>
      </c>
      <c r="H90" t="str">
        <v>Melva</v>
      </c>
      <c r="I90" t="str">
        <v>Jickells</v>
      </c>
      <c r="J90" t="str">
        <v>Female</v>
      </c>
      <c r="K90" t="str">
        <v>Product Management</v>
      </c>
      <c r="L90">
        <v>68795.48</v>
      </c>
      <c r="M90" t="str">
        <v>50k to 100k</v>
      </c>
      <c r="N90">
        <v>44277</v>
      </c>
      <c r="O90">
        <v>0.2</v>
      </c>
      <c r="P90" t="str">
        <v>Permanent</v>
      </c>
      <c r="Q90" t="str">
        <v>Remote</v>
      </c>
      <c r="R90">
        <v>3.2520547945205478</v>
      </c>
      <c r="S90" t="str">
        <v>Part time</v>
      </c>
    </row>
    <row r="91" spans="7:19" x14ac:dyDescent="0.3">
      <c r="G91" t="str">
        <v>TN01601</v>
      </c>
      <c r="H91" t="str">
        <v>Melva</v>
      </c>
      <c r="I91" t="str">
        <v>Jickells</v>
      </c>
      <c r="J91" t="str">
        <v>Female</v>
      </c>
      <c r="K91" t="str">
        <v>Product Management</v>
      </c>
      <c r="L91">
        <v>68795.48</v>
      </c>
      <c r="M91" t="str">
        <v>50k to 100k</v>
      </c>
      <c r="N91">
        <v>44277</v>
      </c>
      <c r="O91">
        <v>0.2</v>
      </c>
      <c r="P91" t="str">
        <v>Permanent</v>
      </c>
      <c r="Q91" t="str">
        <v>Remote</v>
      </c>
      <c r="R91">
        <v>3.2520547945205478</v>
      </c>
      <c r="S91" t="str">
        <v>Part time</v>
      </c>
    </row>
    <row r="92" spans="7:19" x14ac:dyDescent="0.3">
      <c r="G92" t="str">
        <v>SQ04612</v>
      </c>
      <c r="H92" t="str">
        <v>Mick</v>
      </c>
      <c r="I92" t="str">
        <v>Spraberry</v>
      </c>
      <c r="J92" t="str">
        <v>Female</v>
      </c>
      <c r="K92" t="str">
        <v>Services</v>
      </c>
      <c r="L92">
        <v>120000</v>
      </c>
      <c r="M92" t="str">
        <v>Above 100k</v>
      </c>
      <c r="N92">
        <v>43902</v>
      </c>
      <c r="O92">
        <v>0.9</v>
      </c>
      <c r="P92" t="str">
        <v>Permanent</v>
      </c>
      <c r="Q92" t="str">
        <v>Remote</v>
      </c>
      <c r="R92">
        <v>4.279452054794521</v>
      </c>
      <c r="S92" t="str">
        <v>Part time</v>
      </c>
    </row>
    <row r="93" spans="7:19" x14ac:dyDescent="0.3">
      <c r="G93" t="str">
        <v>VT03701</v>
      </c>
      <c r="H93" t="str">
        <v>Narois</v>
      </c>
      <c r="I93" t="str">
        <v>Motiwala</v>
      </c>
      <c r="J93" t="str">
        <v>Female</v>
      </c>
      <c r="K93" t="str">
        <v>Product Management</v>
      </c>
      <c r="L93">
        <v>89829.33</v>
      </c>
      <c r="M93" t="str">
        <v>50k to 100k</v>
      </c>
      <c r="N93">
        <v>43794</v>
      </c>
      <c r="O93">
        <v>1</v>
      </c>
      <c r="P93" t="str">
        <v>Temporary</v>
      </c>
      <c r="Q93" t="str">
        <v>Chennai, India</v>
      </c>
      <c r="R93">
        <v>4.5753424657534243</v>
      </c>
      <c r="S93" t="str">
        <v>Full time</v>
      </c>
    </row>
    <row r="94" spans="7:19" x14ac:dyDescent="0.3">
      <c r="G94" t="str">
        <v>VT04681</v>
      </c>
      <c r="H94" t="str">
        <v>Nickolai</v>
      </c>
      <c r="I94" t="str">
        <v>Artin</v>
      </c>
      <c r="J94" t="str">
        <v>Female</v>
      </c>
      <c r="K94" t="str">
        <v>Product Management</v>
      </c>
      <c r="L94">
        <v>110906.35</v>
      </c>
      <c r="M94" t="str">
        <v>Above 100k</v>
      </c>
      <c r="N94">
        <v>43434</v>
      </c>
      <c r="O94">
        <v>1</v>
      </c>
      <c r="P94" t="str">
        <v>Temporary</v>
      </c>
      <c r="Q94" t="str">
        <v>Wellington, New Zealand</v>
      </c>
      <c r="R94">
        <v>5.5616438356164384</v>
      </c>
      <c r="S94" t="str">
        <v>Full time</v>
      </c>
    </row>
    <row r="95" spans="7:19" x14ac:dyDescent="0.3">
      <c r="G95" t="str">
        <v>PR04686</v>
      </c>
      <c r="H95" t="str">
        <v>Oona</v>
      </c>
      <c r="I95" t="str">
        <v>Donan</v>
      </c>
      <c r="J95" t="str">
        <v>Female</v>
      </c>
      <c r="K95" t="str">
        <v>Business Development</v>
      </c>
      <c r="L95">
        <v>98000</v>
      </c>
      <c r="M95" t="str">
        <v>50k to 100k</v>
      </c>
      <c r="N95">
        <v>43710</v>
      </c>
      <c r="O95">
        <v>0.9</v>
      </c>
      <c r="P95" t="str">
        <v>Permanent</v>
      </c>
      <c r="Q95" t="str">
        <v>Seattle, USA</v>
      </c>
      <c r="R95">
        <v>4.8054794520547945</v>
      </c>
      <c r="S95" t="str">
        <v>Part time</v>
      </c>
    </row>
    <row r="96" spans="7:19" x14ac:dyDescent="0.3">
      <c r="G96" t="str">
        <v>VT02118</v>
      </c>
      <c r="H96" t="str">
        <v>Oorjit</v>
      </c>
      <c r="I96" t="str">
        <v>Nandanavanam</v>
      </c>
      <c r="J96" t="str">
        <v>Female</v>
      </c>
      <c r="K96" t="str">
        <v>Engineering</v>
      </c>
      <c r="L96">
        <v>51165.37</v>
      </c>
      <c r="M96" t="str">
        <v>50k to 100k</v>
      </c>
      <c r="N96">
        <v>44237</v>
      </c>
      <c r="O96">
        <v>1</v>
      </c>
      <c r="P96" t="str">
        <v>Fixed Term</v>
      </c>
      <c r="Q96" t="str">
        <v>Hyderabad, India</v>
      </c>
      <c r="R96">
        <v>3.3616438356164382</v>
      </c>
      <c r="S96" t="str">
        <v>Full time</v>
      </c>
    </row>
    <row r="97" spans="7:19" x14ac:dyDescent="0.3">
      <c r="G97" t="str">
        <v>TN02749</v>
      </c>
      <c r="H97" t="str">
        <v>Parasuramudu</v>
      </c>
      <c r="I97" t="str">
        <v>Jamakayala</v>
      </c>
      <c r="J97" t="str">
        <v>Female</v>
      </c>
      <c r="K97" t="str">
        <v>Training</v>
      </c>
      <c r="L97">
        <v>57002.02</v>
      </c>
      <c r="M97" t="str">
        <v>50k to 100k</v>
      </c>
      <c r="N97">
        <v>43192</v>
      </c>
      <c r="O97">
        <v>0.7</v>
      </c>
      <c r="P97" t="str">
        <v>Permanent</v>
      </c>
      <c r="Q97" t="str">
        <v>Hyderabad, India</v>
      </c>
      <c r="R97">
        <v>6.2246575342465755</v>
      </c>
      <c r="S97" t="str">
        <v>Part time</v>
      </c>
    </row>
    <row r="98" spans="7:19" x14ac:dyDescent="0.3">
      <c r="G98" t="str">
        <v>SQ02223</v>
      </c>
      <c r="H98" t="str">
        <v>Pippy</v>
      </c>
      <c r="I98" t="str">
        <v>Shepperd</v>
      </c>
      <c r="J98" t="str">
        <v>Female</v>
      </c>
      <c r="K98" t="str">
        <v>Accounting</v>
      </c>
      <c r="L98">
        <v>44845.33</v>
      </c>
      <c r="M98" t="str">
        <v>Under 50k</v>
      </c>
      <c r="N98">
        <v>43277</v>
      </c>
      <c r="O98">
        <v>1</v>
      </c>
      <c r="P98" t="str">
        <v>Permanent</v>
      </c>
      <c r="Q98" t="str">
        <v>Seattle, USA</v>
      </c>
      <c r="R98">
        <v>5.9917808219178079</v>
      </c>
      <c r="S98" t="str">
        <v>Full time</v>
      </c>
    </row>
    <row r="99" spans="7:19" x14ac:dyDescent="0.3">
      <c r="G99" t="str">
        <v>VT04093</v>
      </c>
      <c r="H99" t="str">
        <v>Prasanna</v>
      </c>
      <c r="I99" t="str">
        <v>Lakshmi</v>
      </c>
      <c r="J99" t="str">
        <v>Female</v>
      </c>
      <c r="K99" t="str">
        <v>Training</v>
      </c>
      <c r="L99">
        <v>116767.63</v>
      </c>
      <c r="M99" t="str">
        <v>Above 100k</v>
      </c>
      <c r="N99">
        <v>43949</v>
      </c>
      <c r="O99">
        <v>0.4</v>
      </c>
      <c r="P99" t="str">
        <v>Temporary</v>
      </c>
      <c r="Q99" t="str">
        <v>Chennai, India</v>
      </c>
      <c r="R99">
        <v>4.1506849315068495</v>
      </c>
      <c r="S99" t="str">
        <v>Part time</v>
      </c>
    </row>
    <row r="100" spans="7:19" x14ac:dyDescent="0.3">
      <c r="G100" t="str">
        <v>TN00579</v>
      </c>
      <c r="H100" t="str">
        <v>Rafaelita</v>
      </c>
      <c r="I100" t="str">
        <v>Blaksland</v>
      </c>
      <c r="J100" t="str">
        <v>Female</v>
      </c>
      <c r="K100" t="str">
        <v>Services</v>
      </c>
      <c r="L100">
        <v>109163.39</v>
      </c>
      <c r="M100" t="str">
        <v>Above 100k</v>
      </c>
      <c r="N100">
        <v>44019</v>
      </c>
      <c r="O100">
        <v>0.8</v>
      </c>
      <c r="P100" t="str">
        <v>Permanent</v>
      </c>
      <c r="Q100" t="str">
        <v>Seattle, USA</v>
      </c>
      <c r="R100">
        <v>3.9589041095890409</v>
      </c>
      <c r="S100" t="str">
        <v>Part time</v>
      </c>
    </row>
    <row r="101" spans="7:19" x14ac:dyDescent="0.3">
      <c r="G101" t="str">
        <v>TN00227</v>
      </c>
      <c r="H101" t="str">
        <v>Raghuveer</v>
      </c>
      <c r="I101" t="str">
        <v>Yettugunna</v>
      </c>
      <c r="J101" t="str">
        <v>Female</v>
      </c>
      <c r="K101" t="str">
        <v>Support</v>
      </c>
      <c r="L101">
        <v>63555.73</v>
      </c>
      <c r="M101" t="str">
        <v>50k to 100k</v>
      </c>
      <c r="N101">
        <v>44159</v>
      </c>
      <c r="O101">
        <v>1</v>
      </c>
      <c r="P101" t="str">
        <v>Permanent</v>
      </c>
      <c r="Q101" t="str">
        <v>Chennai, India</v>
      </c>
      <c r="R101">
        <v>3.5753424657534247</v>
      </c>
      <c r="S101" t="str">
        <v>Full time</v>
      </c>
    </row>
    <row r="102" spans="7:19" x14ac:dyDescent="0.3">
      <c r="G102" t="str">
        <v>VT02260</v>
      </c>
      <c r="H102" t="str">
        <v>Rhiamon</v>
      </c>
      <c r="I102" t="str">
        <v>Mollison</v>
      </c>
      <c r="J102" t="str">
        <v>Female</v>
      </c>
      <c r="K102" t="str">
        <v>Research and Development</v>
      </c>
      <c r="L102">
        <v>59434.18</v>
      </c>
      <c r="M102" t="str">
        <v>50k to 100k</v>
      </c>
      <c r="N102">
        <v>43931</v>
      </c>
      <c r="O102">
        <v>1</v>
      </c>
      <c r="P102" t="str">
        <v>Temporary</v>
      </c>
      <c r="Q102" t="str">
        <v>Seattle, USA</v>
      </c>
      <c r="R102">
        <v>4.2</v>
      </c>
      <c r="S102" t="str">
        <v>Full time</v>
      </c>
    </row>
    <row r="103" spans="7:19" x14ac:dyDescent="0.3">
      <c r="G103" t="str">
        <v>SQ03387</v>
      </c>
      <c r="H103" t="str">
        <v>Robinia</v>
      </c>
      <c r="I103" t="str">
        <v>Scholling</v>
      </c>
      <c r="J103" t="str">
        <v>Female</v>
      </c>
      <c r="K103" t="str">
        <v>Human Resources</v>
      </c>
      <c r="L103">
        <v>100731.95</v>
      </c>
      <c r="M103" t="str">
        <v>Above 100k</v>
      </c>
      <c r="N103">
        <v>43936</v>
      </c>
      <c r="O103">
        <v>1</v>
      </c>
      <c r="P103" t="str">
        <v>Permanent</v>
      </c>
      <c r="Q103" t="str">
        <v>Auckland, New Zealand</v>
      </c>
      <c r="R103">
        <v>4.1863013698630134</v>
      </c>
      <c r="S103" t="str">
        <v>Full time</v>
      </c>
    </row>
    <row r="104" spans="7:19" x14ac:dyDescent="0.3">
      <c r="G104" t="str">
        <v>PR04851</v>
      </c>
      <c r="H104" t="str">
        <v>Rodina</v>
      </c>
      <c r="I104" t="str">
        <v>Drinan</v>
      </c>
      <c r="J104" t="str">
        <v>Female</v>
      </c>
      <c r="K104" t="str">
        <v>Sales</v>
      </c>
      <c r="L104">
        <v>77045.440000000002</v>
      </c>
      <c r="M104" t="str">
        <v>50k to 100k</v>
      </c>
      <c r="N104">
        <v>43636</v>
      </c>
      <c r="O104">
        <v>1</v>
      </c>
      <c r="P104" t="str">
        <v>Permanent</v>
      </c>
      <c r="Q104" t="str">
        <v>Remote</v>
      </c>
      <c r="R104">
        <v>5.0082191780821921</v>
      </c>
      <c r="S104" t="str">
        <v>Full time</v>
      </c>
    </row>
    <row r="105" spans="7:19" x14ac:dyDescent="0.3">
      <c r="G105" t="str">
        <v>SQ00187</v>
      </c>
      <c r="H105" t="str">
        <v>Rupak</v>
      </c>
      <c r="I105" t="str">
        <v>Mehra</v>
      </c>
      <c r="J105" t="str">
        <v>Female</v>
      </c>
      <c r="K105" t="str">
        <v>Services</v>
      </c>
      <c r="L105">
        <v>71229.42</v>
      </c>
      <c r="M105" t="str">
        <v>50k to 100k</v>
      </c>
      <c r="N105">
        <v>44166</v>
      </c>
      <c r="O105">
        <v>1</v>
      </c>
      <c r="P105" t="str">
        <v>Permanent</v>
      </c>
      <c r="Q105" t="str">
        <v>Hyderabad, India</v>
      </c>
      <c r="R105">
        <v>3.5561643835616437</v>
      </c>
      <c r="S105" t="str">
        <v>Full time</v>
      </c>
    </row>
    <row r="106" spans="7:19" x14ac:dyDescent="0.3">
      <c r="G106" t="str">
        <v>TN04265</v>
      </c>
      <c r="H106" t="str">
        <v>Rushil</v>
      </c>
      <c r="I106" t="str">
        <v>Kripa</v>
      </c>
      <c r="J106" t="str">
        <v>Female</v>
      </c>
      <c r="K106" t="str">
        <v>Training</v>
      </c>
      <c r="L106">
        <v>93964.3</v>
      </c>
      <c r="M106" t="str">
        <v>50k to 100k</v>
      </c>
      <c r="N106">
        <v>44454</v>
      </c>
      <c r="O106">
        <v>0.4</v>
      </c>
      <c r="P106" t="str">
        <v>Fixed Term</v>
      </c>
      <c r="Q106" t="str">
        <v>Hyderabad, India</v>
      </c>
      <c r="R106">
        <v>2.7671232876712328</v>
      </c>
      <c r="S106" t="str">
        <v>Part time</v>
      </c>
    </row>
    <row r="107" spans="7:19" x14ac:dyDescent="0.3">
      <c r="G107" t="str">
        <v>SQ01402</v>
      </c>
      <c r="H107" t="str">
        <v>Sahaj</v>
      </c>
      <c r="I107" t="str">
        <v>Jonnalagadda</v>
      </c>
      <c r="J107" t="str">
        <v>Female</v>
      </c>
      <c r="K107" t="str">
        <v>Engineering</v>
      </c>
      <c r="L107">
        <v>44403.77</v>
      </c>
      <c r="M107" t="str">
        <v>Under 50k</v>
      </c>
      <c r="N107">
        <v>43416</v>
      </c>
      <c r="O107">
        <v>1</v>
      </c>
      <c r="P107" t="str">
        <v>Permanent</v>
      </c>
      <c r="Q107" t="str">
        <v>Hyderabad, India</v>
      </c>
      <c r="R107">
        <v>5.6109589041095891</v>
      </c>
      <c r="S107" t="str">
        <v>Full time</v>
      </c>
    </row>
    <row r="108" spans="7:19" x14ac:dyDescent="0.3">
      <c r="G108" t="str">
        <v>PR04446</v>
      </c>
      <c r="H108" t="str">
        <v>Sameer</v>
      </c>
      <c r="I108" t="str">
        <v>Shashank</v>
      </c>
      <c r="J108" t="str">
        <v>Female</v>
      </c>
      <c r="K108" t="str">
        <v>Research and Development</v>
      </c>
      <c r="L108">
        <v>92336.08</v>
      </c>
      <c r="M108" t="str">
        <v>50k to 100k</v>
      </c>
      <c r="N108">
        <v>44431</v>
      </c>
      <c r="O108">
        <v>1</v>
      </c>
      <c r="P108" t="str">
        <v>Permanent</v>
      </c>
      <c r="Q108" t="str">
        <v>Hyderabad, India</v>
      </c>
      <c r="R108">
        <v>2.8301369863013699</v>
      </c>
      <c r="S108" t="str">
        <v>Full time</v>
      </c>
    </row>
    <row r="109" spans="7:19" x14ac:dyDescent="0.3">
      <c r="G109" t="str">
        <v>SQ00105</v>
      </c>
      <c r="H109" t="str">
        <v>Sarayu</v>
      </c>
      <c r="I109" t="str">
        <v>Ragunathan</v>
      </c>
      <c r="J109" t="str">
        <v>Female</v>
      </c>
      <c r="K109" t="str">
        <v>Training</v>
      </c>
      <c r="L109">
        <v>86010.54</v>
      </c>
      <c r="M109" t="str">
        <v>50k to 100k</v>
      </c>
      <c r="N109">
        <v>43164</v>
      </c>
      <c r="O109">
        <v>1</v>
      </c>
      <c r="P109" t="str">
        <v>Permanent</v>
      </c>
      <c r="Q109" t="str">
        <v>Chennai, India</v>
      </c>
      <c r="R109">
        <v>6.3013698630136989</v>
      </c>
      <c r="S109" t="str">
        <v>Full time</v>
      </c>
    </row>
    <row r="110" spans="7:19" x14ac:dyDescent="0.3">
      <c r="G110" t="str">
        <v>SQ04613</v>
      </c>
      <c r="H110" t="str">
        <v>Sarojini</v>
      </c>
      <c r="I110" t="str">
        <v>Naueshwara</v>
      </c>
      <c r="J110" t="str">
        <v>Female</v>
      </c>
      <c r="K110" t="str">
        <v>Human Resources</v>
      </c>
      <c r="L110">
        <v>85264.38</v>
      </c>
      <c r="M110" t="str">
        <v>50k to 100k</v>
      </c>
      <c r="N110">
        <v>43220</v>
      </c>
      <c r="O110">
        <v>1</v>
      </c>
      <c r="P110" t="str">
        <v>Permanent</v>
      </c>
      <c r="Q110" t="str">
        <v>Chennai, India</v>
      </c>
      <c r="R110">
        <v>6.1479452054794521</v>
      </c>
      <c r="S110" t="str">
        <v>Full time</v>
      </c>
    </row>
    <row r="111" spans="7:19" x14ac:dyDescent="0.3">
      <c r="G111" t="str">
        <v>TN04246</v>
      </c>
      <c r="H111" t="str">
        <v>Shaylyn</v>
      </c>
      <c r="I111" t="str">
        <v>Ransbury</v>
      </c>
      <c r="J111" t="str">
        <v>Female</v>
      </c>
      <c r="K111" t="str">
        <v>Support</v>
      </c>
      <c r="L111">
        <v>100371.31</v>
      </c>
      <c r="M111" t="str">
        <v>Above 100k</v>
      </c>
      <c r="N111">
        <v>44067</v>
      </c>
      <c r="O111">
        <v>0.8</v>
      </c>
      <c r="P111" t="str">
        <v>Fixed Term</v>
      </c>
      <c r="Q111" t="str">
        <v>Auckland, New Zealand</v>
      </c>
      <c r="R111">
        <v>3.8273972602739725</v>
      </c>
      <c r="S111" t="str">
        <v>Part time</v>
      </c>
    </row>
    <row r="112" spans="7:19" x14ac:dyDescent="0.3">
      <c r="G112" t="str">
        <v>SQ04960</v>
      </c>
      <c r="H112" t="str">
        <v>Shubhra</v>
      </c>
      <c r="I112" t="str">
        <v>Potla</v>
      </c>
      <c r="J112" t="str">
        <v>Female</v>
      </c>
      <c r="K112" t="str">
        <v>Support</v>
      </c>
      <c r="L112">
        <v>71924.850000000006</v>
      </c>
      <c r="M112" t="str">
        <v>50k to 100k</v>
      </c>
      <c r="N112">
        <v>43822</v>
      </c>
      <c r="O112">
        <v>1</v>
      </c>
      <c r="P112" t="str">
        <v>Permanent</v>
      </c>
      <c r="Q112" t="str">
        <v>Chennai, India</v>
      </c>
      <c r="R112">
        <v>4.4986301369863018</v>
      </c>
      <c r="S112" t="str">
        <v>Full time</v>
      </c>
    </row>
    <row r="113" spans="7:19" x14ac:dyDescent="0.3">
      <c r="G113" t="str">
        <v>SQ02174</v>
      </c>
      <c r="H113" t="str">
        <v>Sidoney</v>
      </c>
      <c r="I113" t="str">
        <v>Yitzhok</v>
      </c>
      <c r="J113" t="str">
        <v>Female</v>
      </c>
      <c r="K113" t="str">
        <v>Engineering</v>
      </c>
      <c r="L113">
        <v>118442.54</v>
      </c>
      <c r="M113" t="str">
        <v>Above 100k</v>
      </c>
      <c r="N113">
        <v>44193</v>
      </c>
      <c r="O113">
        <v>1</v>
      </c>
      <c r="P113" t="str">
        <v>Permanent</v>
      </c>
      <c r="Q113" t="str">
        <v>Auckland, New Zealand</v>
      </c>
      <c r="R113">
        <v>3.4821917808219176</v>
      </c>
      <c r="S113" t="str">
        <v>Full time</v>
      </c>
    </row>
    <row r="114" spans="7:19" x14ac:dyDescent="0.3">
      <c r="G114" t="str">
        <v>PR03271</v>
      </c>
      <c r="H114" t="str">
        <v>Stan</v>
      </c>
      <c r="I114" t="str">
        <v>Tolliday</v>
      </c>
      <c r="J114" t="str">
        <v>Female</v>
      </c>
      <c r="K114" t="str">
        <v>Sales</v>
      </c>
      <c r="L114">
        <v>39535.49</v>
      </c>
      <c r="M114" t="str">
        <v>Under 50k</v>
      </c>
      <c r="N114">
        <v>43397</v>
      </c>
      <c r="O114">
        <v>0.3</v>
      </c>
      <c r="P114" t="str">
        <v>Permanent</v>
      </c>
      <c r="Q114" t="str">
        <v>Remote</v>
      </c>
      <c r="R114">
        <v>5.6630136986301371</v>
      </c>
      <c r="S114" t="str">
        <v>Part time</v>
      </c>
    </row>
    <row r="115" spans="7:19" x14ac:dyDescent="0.3">
      <c r="G115" t="str">
        <v>VT04905</v>
      </c>
      <c r="H115" t="str">
        <v>Suchira</v>
      </c>
      <c r="I115" t="str">
        <v>Bhanupriya</v>
      </c>
      <c r="J115" t="str">
        <v>Female</v>
      </c>
      <c r="K115" t="str">
        <v>Human Resources</v>
      </c>
      <c r="L115">
        <v>29808.07</v>
      </c>
      <c r="M115" t="str">
        <v>Under 50k</v>
      </c>
      <c r="N115">
        <v>43291</v>
      </c>
      <c r="O115">
        <v>0.3</v>
      </c>
      <c r="P115" t="str">
        <v>Temporary</v>
      </c>
      <c r="Q115" t="str">
        <v>Hyderabad, India</v>
      </c>
      <c r="R115">
        <v>5.9534246575342467</v>
      </c>
      <c r="S115" t="str">
        <v>Part time</v>
      </c>
    </row>
    <row r="116" spans="7:19" x14ac:dyDescent="0.3">
      <c r="G116" t="str">
        <v>TN04166</v>
      </c>
      <c r="H116" t="str">
        <v>Tadio</v>
      </c>
      <c r="I116" t="str">
        <v>Dowdle</v>
      </c>
      <c r="J116" t="str">
        <v>Female</v>
      </c>
      <c r="K116" t="str">
        <v>Product Management</v>
      </c>
      <c r="L116">
        <v>91929.69</v>
      </c>
      <c r="M116" t="str">
        <v>50k to 100k</v>
      </c>
      <c r="N116">
        <v>44085</v>
      </c>
      <c r="O116">
        <v>1</v>
      </c>
      <c r="P116" t="str">
        <v>Fixed Term</v>
      </c>
      <c r="Q116" t="str">
        <v>Remote</v>
      </c>
      <c r="R116">
        <v>3.7780821917808218</v>
      </c>
      <c r="S116" t="str">
        <v>Full time</v>
      </c>
    </row>
    <row r="117" spans="7:19" x14ac:dyDescent="0.3">
      <c r="G117" t="str">
        <v>VT02319</v>
      </c>
      <c r="H117" t="str">
        <v>Tarala</v>
      </c>
      <c r="I117" t="str">
        <v>Vishaal</v>
      </c>
      <c r="J117" t="str">
        <v>Female</v>
      </c>
      <c r="K117" t="str">
        <v>Research and Development</v>
      </c>
      <c r="L117">
        <v>96555.53</v>
      </c>
      <c r="M117" t="str">
        <v>50k to 100k</v>
      </c>
      <c r="N117">
        <v>43489</v>
      </c>
      <c r="O117">
        <v>0.2</v>
      </c>
      <c r="P117" t="str">
        <v>Temporary</v>
      </c>
      <c r="Q117" t="str">
        <v>Hyderabad, India</v>
      </c>
      <c r="R117">
        <v>5.4109589041095889</v>
      </c>
      <c r="S117" t="str">
        <v>Part time</v>
      </c>
    </row>
    <row r="118" spans="7:19" x14ac:dyDescent="0.3">
      <c r="G118" t="str">
        <v>VT04552</v>
      </c>
      <c r="H118" t="str">
        <v>Theresita</v>
      </c>
      <c r="I118" t="str">
        <v>Chasmer</v>
      </c>
      <c r="J118" t="str">
        <v>Female</v>
      </c>
      <c r="K118" t="str">
        <v>Product Management</v>
      </c>
      <c r="L118">
        <v>106665.67</v>
      </c>
      <c r="M118" t="str">
        <v>Above 100k</v>
      </c>
      <c r="N118">
        <v>43311</v>
      </c>
      <c r="O118">
        <v>1</v>
      </c>
      <c r="P118" t="str">
        <v>Temporary</v>
      </c>
      <c r="Q118" t="str">
        <v>Columbus, USA</v>
      </c>
      <c r="R118">
        <v>5.8986301369863012</v>
      </c>
      <c r="S118" t="str">
        <v>Full time</v>
      </c>
    </row>
    <row r="119" spans="7:19" x14ac:dyDescent="0.3">
      <c r="G119" t="str">
        <v>PR00007</v>
      </c>
      <c r="H119" t="str">
        <v>Torrance</v>
      </c>
      <c r="I119" t="str">
        <v>Collier</v>
      </c>
      <c r="J119" t="str">
        <v>Female</v>
      </c>
      <c r="K119" t="str">
        <v>Training</v>
      </c>
      <c r="L119">
        <v>96135.75</v>
      </c>
      <c r="M119" t="str">
        <v>50k to 100k</v>
      </c>
      <c r="N119">
        <v>44025</v>
      </c>
      <c r="O119">
        <v>0.3</v>
      </c>
      <c r="P119" t="str">
        <v>Permanent</v>
      </c>
      <c r="Q119" t="str">
        <v>Wellington, New Zealand</v>
      </c>
      <c r="R119">
        <v>3.9424657534246577</v>
      </c>
      <c r="S119" t="str">
        <v>Part time</v>
      </c>
    </row>
    <row r="120" spans="7:19" x14ac:dyDescent="0.3">
      <c r="G120" t="str">
        <v>TN04740</v>
      </c>
      <c r="H120" t="str">
        <v>Tristam</v>
      </c>
      <c r="I120" t="str">
        <v>Cuming</v>
      </c>
      <c r="J120" t="str">
        <v>Female</v>
      </c>
      <c r="K120" t="str">
        <v>Support</v>
      </c>
      <c r="L120">
        <v>104038.9</v>
      </c>
      <c r="M120" t="str">
        <v>Above 100k</v>
      </c>
      <c r="N120">
        <v>43815</v>
      </c>
      <c r="O120">
        <v>1</v>
      </c>
      <c r="P120" t="str">
        <v>Fixed Term</v>
      </c>
      <c r="Q120" t="str">
        <v>Remote</v>
      </c>
      <c r="R120">
        <v>4.5178082191780824</v>
      </c>
      <c r="S120" t="str">
        <v>Full time</v>
      </c>
    </row>
    <row r="121" spans="7:19" x14ac:dyDescent="0.3">
      <c r="G121" t="str">
        <v>PR00113</v>
      </c>
      <c r="H121" t="str">
        <v>Van</v>
      </c>
      <c r="I121" t="str">
        <v>Tuxwell</v>
      </c>
      <c r="J121" t="str">
        <v>Female</v>
      </c>
      <c r="K121" t="str">
        <v>Business Growth</v>
      </c>
      <c r="L121">
        <v>80695.740000000005</v>
      </c>
      <c r="M121" t="str">
        <v>50k to 100k</v>
      </c>
      <c r="N121">
        <v>43360</v>
      </c>
      <c r="O121">
        <v>1</v>
      </c>
      <c r="P121" t="str">
        <v>Permanent</v>
      </c>
      <c r="Q121" t="str">
        <v>Columbus, USA</v>
      </c>
      <c r="R121">
        <v>5.7643835616438359</v>
      </c>
      <c r="S121" t="str">
        <v>Full time</v>
      </c>
    </row>
    <row r="122" spans="7:19" x14ac:dyDescent="0.3">
      <c r="G122" t="str">
        <v>PR00113</v>
      </c>
      <c r="H122" t="str">
        <v>Van</v>
      </c>
      <c r="I122" t="str">
        <v>Tuxwell</v>
      </c>
      <c r="J122" t="str">
        <v>Female</v>
      </c>
      <c r="K122" t="str">
        <v>Business Growth</v>
      </c>
      <c r="L122">
        <v>85000</v>
      </c>
      <c r="M122" t="str">
        <v>50k to 100k</v>
      </c>
      <c r="N122">
        <v>43360</v>
      </c>
      <c r="O122">
        <v>1</v>
      </c>
      <c r="P122" t="str">
        <v>Permanent</v>
      </c>
      <c r="Q122" t="str">
        <v>Columbus, USA</v>
      </c>
      <c r="R122">
        <v>5.7643835616438359</v>
      </c>
      <c r="S122" t="str">
        <v>Full time</v>
      </c>
    </row>
    <row r="123" spans="7:19" x14ac:dyDescent="0.3">
      <c r="G123" t="str">
        <v>PR04380</v>
      </c>
      <c r="H123" t="str">
        <v>Van</v>
      </c>
      <c r="I123" t="str">
        <v>Tuxwell</v>
      </c>
      <c r="J123" t="str">
        <v>Female</v>
      </c>
      <c r="K123" t="str">
        <v>Business Development</v>
      </c>
      <c r="L123">
        <v>80695.740000000005</v>
      </c>
      <c r="M123" t="str">
        <v>50k to 100k</v>
      </c>
      <c r="N123">
        <v>43787</v>
      </c>
      <c r="O123">
        <v>0.8</v>
      </c>
      <c r="P123" t="str">
        <v>Permanent</v>
      </c>
      <c r="Q123" t="str">
        <v>Columbus, USA</v>
      </c>
      <c r="R123">
        <v>4.5945205479452058</v>
      </c>
      <c r="S123" t="str">
        <v>Part time</v>
      </c>
    </row>
    <row r="124" spans="7:19" x14ac:dyDescent="0.3">
      <c r="G124" t="str">
        <v>PR02957</v>
      </c>
      <c r="H124" t="str">
        <v>Vaughn</v>
      </c>
      <c r="I124" t="str">
        <v>Carvill</v>
      </c>
      <c r="J124" t="str">
        <v>Female</v>
      </c>
      <c r="K124" t="str">
        <v>Training</v>
      </c>
      <c r="L124">
        <v>84745.93</v>
      </c>
      <c r="M124" t="str">
        <v>50k to 100k</v>
      </c>
      <c r="N124">
        <v>43707</v>
      </c>
      <c r="O124">
        <v>1</v>
      </c>
      <c r="P124" t="str">
        <v>Permanent</v>
      </c>
      <c r="Q124" t="str">
        <v>Wellington, New Zealand</v>
      </c>
      <c r="R124">
        <v>4.8136986301369866</v>
      </c>
      <c r="S124" t="str">
        <v>Full time</v>
      </c>
    </row>
    <row r="125" spans="7:19" x14ac:dyDescent="0.3">
      <c r="G125" t="str">
        <v>VT03988</v>
      </c>
      <c r="H125" t="str">
        <v>Venkat</v>
      </c>
      <c r="I125" t="str">
        <v>Kodi</v>
      </c>
      <c r="J125" t="str">
        <v>Female</v>
      </c>
      <c r="K125" t="str">
        <v>Support</v>
      </c>
      <c r="L125">
        <v>58935.92</v>
      </c>
      <c r="M125" t="str">
        <v>50k to 100k</v>
      </c>
      <c r="N125">
        <v>43717</v>
      </c>
      <c r="O125">
        <v>1</v>
      </c>
      <c r="P125" t="str">
        <v>Temporary</v>
      </c>
      <c r="Q125" t="str">
        <v>Hyderabad, India</v>
      </c>
      <c r="R125">
        <v>4.7863013698630139</v>
      </c>
      <c r="S125" t="str">
        <v>Full time</v>
      </c>
    </row>
    <row r="126" spans="7:19" x14ac:dyDescent="0.3">
      <c r="G126" t="str">
        <v>VT00194</v>
      </c>
      <c r="H126" t="str">
        <v>Violante</v>
      </c>
      <c r="I126" t="str">
        <v>Courtonne</v>
      </c>
      <c r="J126" t="str">
        <v>Female</v>
      </c>
      <c r="K126" t="str">
        <v>Product Management</v>
      </c>
      <c r="L126">
        <v>49625.64</v>
      </c>
      <c r="M126" t="str">
        <v>Under 50k</v>
      </c>
      <c r="N126">
        <v>44384</v>
      </c>
      <c r="O126">
        <v>0.5</v>
      </c>
      <c r="P126" t="str">
        <v>Fixed Term</v>
      </c>
      <c r="Q126" t="str">
        <v>Remote</v>
      </c>
      <c r="R126">
        <v>2.9589041095890409</v>
      </c>
      <c r="S126" t="str">
        <v>Part time</v>
      </c>
    </row>
    <row r="127" spans="7:19" x14ac:dyDescent="0.3">
      <c r="G127" t="str">
        <v>TN02727</v>
      </c>
      <c r="H127" t="str">
        <v>Wald</v>
      </c>
      <c r="I127" t="str">
        <v>Bountiff</v>
      </c>
      <c r="J127" t="str">
        <v>Female</v>
      </c>
      <c r="K127" t="str">
        <v>Support</v>
      </c>
      <c r="L127">
        <v>28974.03</v>
      </c>
      <c r="M127" t="str">
        <v>Under 50k</v>
      </c>
      <c r="N127">
        <v>43733</v>
      </c>
      <c r="O127">
        <v>1</v>
      </c>
      <c r="P127" t="str">
        <v>Permanent</v>
      </c>
      <c r="Q127" t="str">
        <v>Auckland, New Zealand</v>
      </c>
      <c r="R127">
        <v>4.7424657534246579</v>
      </c>
      <c r="S127" t="str">
        <v>Full time</v>
      </c>
    </row>
    <row r="128" spans="7:19" x14ac:dyDescent="0.3">
      <c r="G128" t="str">
        <v>PR04473</v>
      </c>
      <c r="H128" t="str">
        <v>Wyn</v>
      </c>
      <c r="I128" t="str">
        <v>Treadger</v>
      </c>
      <c r="J128" t="str">
        <v>Female</v>
      </c>
      <c r="K128" t="str">
        <v>Business Development</v>
      </c>
      <c r="L128">
        <v>69192.850000000006</v>
      </c>
      <c r="M128" t="str">
        <v>50k to 100k</v>
      </c>
      <c r="N128">
        <v>44305</v>
      </c>
      <c r="O128">
        <v>1</v>
      </c>
      <c r="P128" t="str">
        <v>Permanent</v>
      </c>
      <c r="Q128" t="str">
        <v>Columbus, USA</v>
      </c>
      <c r="R128">
        <v>3.1753424657534248</v>
      </c>
      <c r="S128" t="str">
        <v>Full time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8269-85D9-4BFB-B0AE-A65EC3D3FA73}">
  <dimension ref="B1:I19"/>
  <sheetViews>
    <sheetView topLeftCell="A3" zoomScale="190" zoomScaleNormal="190" workbookViewId="0">
      <selection activeCell="E7" sqref="E7"/>
    </sheetView>
  </sheetViews>
  <sheetFormatPr defaultRowHeight="14.4" x14ac:dyDescent="0.3"/>
  <cols>
    <col min="1" max="1" width="2.88671875" customWidth="1"/>
    <col min="2" max="2" width="23.33203125" customWidth="1"/>
    <col min="3" max="3" width="11.33203125" customWidth="1"/>
    <col min="4" max="5" width="12.109375" customWidth="1"/>
    <col min="6" max="6" width="7.109375" customWidth="1"/>
    <col min="7" max="7" width="9.88671875" customWidth="1"/>
  </cols>
  <sheetData>
    <row r="1" spans="2:9" x14ac:dyDescent="0.3">
      <c r="B1" s="25" t="s">
        <v>756</v>
      </c>
    </row>
    <row r="3" spans="2:9" x14ac:dyDescent="0.3">
      <c r="B3" s="29" t="s">
        <v>795</v>
      </c>
      <c r="C3" s="30">
        <f>COUNTA(staff[Emp ID])</f>
        <v>260</v>
      </c>
      <c r="D3" s="55">
        <f>AVERAGE(staff[Salary])</f>
        <v>73877.880076923131</v>
      </c>
      <c r="E3" s="51"/>
      <c r="F3" s="51"/>
      <c r="G3" s="55"/>
      <c r="H3" s="30"/>
      <c r="I3" s="30"/>
    </row>
    <row r="4" spans="2:9" ht="8.25" customHeight="1" x14ac:dyDescent="0.3">
      <c r="E4" s="48"/>
      <c r="F4" s="48"/>
    </row>
    <row r="5" spans="2:9" ht="28.8" x14ac:dyDescent="0.3">
      <c r="B5" s="52" t="s">
        <v>4</v>
      </c>
      <c r="C5" s="53" t="s">
        <v>761</v>
      </c>
      <c r="D5" s="53" t="s">
        <v>763</v>
      </c>
      <c r="E5" s="68" t="s">
        <v>793</v>
      </c>
      <c r="F5" s="68"/>
      <c r="G5" s="53" t="s">
        <v>792</v>
      </c>
      <c r="H5" s="53" t="s">
        <v>794</v>
      </c>
      <c r="I5" s="54" t="s">
        <v>796</v>
      </c>
    </row>
    <row r="6" spans="2:9" x14ac:dyDescent="0.3">
      <c r="B6" s="49" t="str" cm="1">
        <f t="array" ref="B6:B18">_xlfn._xlws.SORT(_xlfn.UNIQUE(staff[Department]))</f>
        <v>Accounting</v>
      </c>
      <c r="C6" s="49">
        <f>COUNTIFS(staff[Department],B6)</f>
        <v>26</v>
      </c>
      <c r="D6" s="56" cm="1">
        <f t="array" ref="D6:D18">AVERAGEIFS(staff[Salary],staff[Department],_xlfn.ANCHORARRAY(B6))</f>
        <v>69806.945769230777</v>
      </c>
      <c r="E6" s="56">
        <f>D3-D6</f>
        <v>4070.9343076923542</v>
      </c>
      <c r="F6" s="58"/>
      <c r="G6" s="56"/>
      <c r="H6" s="49"/>
      <c r="I6" s="49"/>
    </row>
    <row r="7" spans="2:9" x14ac:dyDescent="0.3">
      <c r="B7" s="50" t="str">
        <v>Business Development</v>
      </c>
      <c r="C7" s="49">
        <f>COUNTIFS(staff[Department],B7)</f>
        <v>24</v>
      </c>
      <c r="D7" s="27">
        <v>79705.644583333327</v>
      </c>
      <c r="E7" s="56">
        <f t="shared" ref="E7:E18" si="0">D4-D7</f>
        <v>-79705.644583333327</v>
      </c>
      <c r="F7" s="59"/>
      <c r="G7" s="57"/>
      <c r="H7" s="50"/>
      <c r="I7" s="50"/>
    </row>
    <row r="8" spans="2:9" x14ac:dyDescent="0.3">
      <c r="B8" s="50" t="str">
        <v>Business Growth</v>
      </c>
      <c r="C8" s="49">
        <f>COUNTIFS(staff[Department],B8)</f>
        <v>2</v>
      </c>
      <c r="D8" s="56">
        <v>82847.87</v>
      </c>
      <c r="E8" s="56">
        <f>D8-D3</f>
        <v>8969.9899230768642</v>
      </c>
      <c r="F8" s="59"/>
      <c r="G8" s="57"/>
      <c r="H8" s="50"/>
      <c r="I8" s="50"/>
    </row>
    <row r="9" spans="2:9" x14ac:dyDescent="0.3">
      <c r="B9" s="50" t="str">
        <v>Engineering</v>
      </c>
      <c r="C9" s="49">
        <f>COUNTIFS(staff[Department],B9)</f>
        <v>26</v>
      </c>
      <c r="D9" s="56">
        <v>81976.441923076927</v>
      </c>
      <c r="E9" s="56">
        <f t="shared" si="0"/>
        <v>-12169.49615384615</v>
      </c>
      <c r="F9" s="59"/>
      <c r="G9" s="57"/>
      <c r="H9" s="50"/>
      <c r="I9" s="50"/>
    </row>
    <row r="10" spans="2:9" x14ac:dyDescent="0.3">
      <c r="B10" s="50" t="str">
        <v>Human Resources</v>
      </c>
      <c r="C10" s="49">
        <f>COUNTIFS(staff[Department],B10)</f>
        <v>22</v>
      </c>
      <c r="D10" s="56">
        <v>73109.377727272731</v>
      </c>
      <c r="E10" s="56">
        <f t="shared" si="0"/>
        <v>6596.2668560605962</v>
      </c>
      <c r="F10" s="59"/>
      <c r="G10" s="57"/>
      <c r="H10" s="50"/>
      <c r="I10" s="50"/>
    </row>
    <row r="11" spans="2:9" x14ac:dyDescent="0.3">
      <c r="B11" s="50" t="str">
        <v>Legal</v>
      </c>
      <c r="C11" s="49">
        <f>COUNTIFS(staff[Department],B11)</f>
        <v>21</v>
      </c>
      <c r="D11" s="56">
        <v>67242.51761904762</v>
      </c>
      <c r="E11" s="56">
        <f t="shared" si="0"/>
        <v>15605.352380952376</v>
      </c>
      <c r="F11" s="59"/>
      <c r="G11" s="57"/>
      <c r="H11" s="50"/>
      <c r="I11" s="50"/>
    </row>
    <row r="12" spans="2:9" x14ac:dyDescent="0.3">
      <c r="B12" s="50" t="str">
        <v>Marketing</v>
      </c>
      <c r="C12" s="49">
        <f>COUNTIFS(staff[Department],B12)</f>
        <v>12</v>
      </c>
      <c r="D12" s="56">
        <v>64441.299999999996</v>
      </c>
      <c r="E12" s="56">
        <f t="shared" si="0"/>
        <v>17535.141923076932</v>
      </c>
      <c r="F12" s="59"/>
      <c r="G12" s="57"/>
      <c r="H12" s="50"/>
      <c r="I12" s="50"/>
    </row>
    <row r="13" spans="2:9" x14ac:dyDescent="0.3">
      <c r="B13" s="50" t="str">
        <v>Product Management</v>
      </c>
      <c r="C13" s="49">
        <f>COUNTIFS(staff[Department],B13)</f>
        <v>29</v>
      </c>
      <c r="D13" s="56">
        <v>75179.064482758622</v>
      </c>
      <c r="E13" s="56">
        <f t="shared" si="0"/>
        <v>-2069.6867554858909</v>
      </c>
      <c r="F13" s="59"/>
      <c r="G13" s="57"/>
      <c r="H13" s="50"/>
      <c r="I13" s="50"/>
    </row>
    <row r="14" spans="2:9" x14ac:dyDescent="0.3">
      <c r="B14" s="50" t="str">
        <v>Research and Development</v>
      </c>
      <c r="C14" s="49">
        <f>COUNTIFS(staff[Department],B14)</f>
        <v>18</v>
      </c>
      <c r="D14" s="56">
        <v>66910.765555555568</v>
      </c>
      <c r="E14" s="56">
        <f t="shared" si="0"/>
        <v>331.75206349205109</v>
      </c>
      <c r="F14" s="59"/>
      <c r="G14" s="57"/>
      <c r="H14" s="50"/>
      <c r="I14" s="50"/>
    </row>
    <row r="15" spans="2:9" x14ac:dyDescent="0.3">
      <c r="B15" s="50" t="str">
        <v>Sales</v>
      </c>
      <c r="C15" s="49">
        <f>COUNTIFS(staff[Department],B15)</f>
        <v>18</v>
      </c>
      <c r="D15" s="56">
        <v>71897.095555555541</v>
      </c>
      <c r="E15" s="56">
        <f t="shared" si="0"/>
        <v>-7455.7955555555454</v>
      </c>
      <c r="F15" s="59"/>
      <c r="G15" s="57"/>
      <c r="H15" s="50"/>
      <c r="I15" s="50"/>
    </row>
    <row r="16" spans="2:9" x14ac:dyDescent="0.3">
      <c r="B16" s="50" t="str">
        <v>Services</v>
      </c>
      <c r="C16" s="49">
        <f>COUNTIFS(staff[Department],B16)</f>
        <v>21</v>
      </c>
      <c r="D16" s="56">
        <v>74673.974761904756</v>
      </c>
      <c r="E16" s="56">
        <f t="shared" si="0"/>
        <v>505.08972085386631</v>
      </c>
      <c r="F16" s="59"/>
      <c r="G16" s="57"/>
      <c r="H16" s="50"/>
      <c r="I16" s="50"/>
    </row>
    <row r="17" spans="2:9" x14ac:dyDescent="0.3">
      <c r="B17" s="50" t="str">
        <v>Support</v>
      </c>
      <c r="C17" s="49">
        <f>COUNTIFS(staff[Department],B17)</f>
        <v>17</v>
      </c>
      <c r="D17" s="56">
        <v>66432.455882352937</v>
      </c>
      <c r="E17" s="56">
        <f t="shared" si="0"/>
        <v>478.30967320263153</v>
      </c>
      <c r="F17" s="59"/>
      <c r="G17" s="57"/>
      <c r="H17" s="50"/>
      <c r="I17" s="50"/>
    </row>
    <row r="18" spans="2:9" x14ac:dyDescent="0.3">
      <c r="B18" s="50" t="str">
        <v>Training</v>
      </c>
      <c r="C18" s="49">
        <f>COUNTIFS(staff[Department],B18)</f>
        <v>24</v>
      </c>
      <c r="D18" s="56">
        <v>83883.964999999997</v>
      </c>
      <c r="E18" s="56">
        <f t="shared" si="0"/>
        <v>-11986.869444444455</v>
      </c>
      <c r="F18" s="59"/>
      <c r="G18" s="57"/>
      <c r="H18" s="50"/>
      <c r="I18" s="50"/>
    </row>
    <row r="19" spans="2:9" x14ac:dyDescent="0.3">
      <c r="D19" s="56"/>
      <c r="E19" s="56"/>
    </row>
  </sheetData>
  <mergeCells count="1">
    <mergeCell ref="E5:F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267"/>
  <sheetViews>
    <sheetView showGridLines="0" tabSelected="1" topLeftCell="C7" workbookViewId="0">
      <selection activeCell="C25" sqref="C25"/>
    </sheetView>
  </sheetViews>
  <sheetFormatPr defaultRowHeight="14.4" x14ac:dyDescent="0.3"/>
  <cols>
    <col min="1" max="1" width="1.6640625" customWidth="1"/>
    <col min="2" max="2" width="3.6640625" customWidth="1"/>
    <col min="3" max="3" width="12.5546875" customWidth="1"/>
    <col min="4" max="4" width="13.88671875" bestFit="1" customWidth="1"/>
    <col min="5" max="5" width="14.88671875" bestFit="1" customWidth="1"/>
    <col min="6" max="6" width="13.6640625" bestFit="1" customWidth="1"/>
    <col min="7" max="8" width="12.88671875" customWidth="1"/>
    <col min="9" max="9" width="14.88671875" customWidth="1"/>
    <col min="10" max="10" width="11.88671875" customWidth="1"/>
    <col min="12" max="12" width="16.44140625" customWidth="1"/>
    <col min="13" max="13" width="23.88671875" bestFit="1" customWidth="1"/>
    <col min="14" max="14" width="13.44140625" bestFit="1" customWidth="1"/>
    <col min="15" max="15" width="12.6640625" customWidth="1"/>
  </cols>
  <sheetData>
    <row r="1" spans="1:15" s="2" customFormat="1" ht="52.5" customHeight="1" x14ac:dyDescent="0.3">
      <c r="A1" s="1"/>
      <c r="C1" s="3" t="s">
        <v>739</v>
      </c>
    </row>
    <row r="5" spans="1:15" x14ac:dyDescent="0.3">
      <c r="H5" s="5"/>
    </row>
    <row r="7" spans="1:15" x14ac:dyDescent="0.3">
      <c r="C7" t="s">
        <v>0</v>
      </c>
      <c r="D7" t="s">
        <v>1</v>
      </c>
      <c r="E7" t="s">
        <v>2</v>
      </c>
      <c r="F7" t="s">
        <v>3</v>
      </c>
      <c r="G7" t="s">
        <v>4</v>
      </c>
      <c r="H7" s="8" t="s">
        <v>5</v>
      </c>
      <c r="I7" t="s">
        <v>6</v>
      </c>
      <c r="J7" t="s">
        <v>7</v>
      </c>
      <c r="K7" s="8" t="s">
        <v>8</v>
      </c>
      <c r="L7" t="s">
        <v>9</v>
      </c>
      <c r="M7" t="s">
        <v>10</v>
      </c>
      <c r="N7" s="7" t="s">
        <v>738</v>
      </c>
      <c r="O7" t="s">
        <v>11</v>
      </c>
    </row>
    <row r="8" spans="1:15" x14ac:dyDescent="0.3">
      <c r="C8" t="s">
        <v>609</v>
      </c>
      <c r="D8" t="s">
        <v>610</v>
      </c>
      <c r="E8" t="s">
        <v>611</v>
      </c>
      <c r="F8" t="s">
        <v>24</v>
      </c>
      <c r="G8" t="s">
        <v>124</v>
      </c>
      <c r="H8" s="5">
        <v>72502.61</v>
      </c>
      <c r="I8" t="s">
        <v>26</v>
      </c>
      <c r="J8" s="6">
        <v>44235</v>
      </c>
      <c r="K8">
        <v>1</v>
      </c>
      <c r="L8" t="s">
        <v>18</v>
      </c>
      <c r="M8" t="s">
        <v>45</v>
      </c>
      <c r="N8" s="9">
        <v>3.3671232876712329</v>
      </c>
      <c r="O8" t="s">
        <v>20</v>
      </c>
    </row>
    <row r="9" spans="1:15" x14ac:dyDescent="0.3">
      <c r="C9" t="s">
        <v>472</v>
      </c>
      <c r="D9" t="s">
        <v>473</v>
      </c>
      <c r="E9" t="s">
        <v>474</v>
      </c>
      <c r="F9" t="s">
        <v>15</v>
      </c>
      <c r="G9" t="s">
        <v>50</v>
      </c>
      <c r="H9" s="5">
        <v>95017.1</v>
      </c>
      <c r="I9" t="s">
        <v>26</v>
      </c>
      <c r="J9" s="6">
        <v>43283</v>
      </c>
      <c r="K9">
        <v>1</v>
      </c>
      <c r="L9" t="s">
        <v>37</v>
      </c>
      <c r="M9" t="s">
        <v>27</v>
      </c>
      <c r="N9" s="9">
        <v>5.9753424657534246</v>
      </c>
      <c r="O9" t="s">
        <v>20</v>
      </c>
    </row>
    <row r="10" spans="1:15" x14ac:dyDescent="0.3">
      <c r="C10" t="s">
        <v>442</v>
      </c>
      <c r="D10" t="s">
        <v>443</v>
      </c>
      <c r="E10" t="s">
        <v>444</v>
      </c>
      <c r="F10" t="s">
        <v>24</v>
      </c>
      <c r="G10" t="s">
        <v>131</v>
      </c>
      <c r="H10" s="5">
        <v>32496.880000000001</v>
      </c>
      <c r="I10" t="s">
        <v>65</v>
      </c>
      <c r="J10" s="6">
        <v>43234</v>
      </c>
      <c r="K10">
        <v>1</v>
      </c>
      <c r="L10" t="s">
        <v>76</v>
      </c>
      <c r="M10" t="s">
        <v>19</v>
      </c>
      <c r="N10" s="9">
        <v>6.1095890410958908</v>
      </c>
      <c r="O10" t="s">
        <v>20</v>
      </c>
    </row>
    <row r="11" spans="1:15" x14ac:dyDescent="0.3">
      <c r="C11" t="s">
        <v>246</v>
      </c>
      <c r="D11" t="s">
        <v>247</v>
      </c>
      <c r="E11" t="s">
        <v>248</v>
      </c>
      <c r="F11" t="s">
        <v>15</v>
      </c>
      <c r="G11" t="s">
        <v>25</v>
      </c>
      <c r="H11" s="5">
        <v>85918.61</v>
      </c>
      <c r="I11" t="s">
        <v>26</v>
      </c>
      <c r="J11" s="6">
        <v>43136</v>
      </c>
      <c r="K11">
        <v>1</v>
      </c>
      <c r="L11" t="s">
        <v>18</v>
      </c>
      <c r="M11" t="s">
        <v>72</v>
      </c>
      <c r="N11" s="9">
        <v>6.3780821917808215</v>
      </c>
      <c r="O11" t="s">
        <v>20</v>
      </c>
    </row>
    <row r="12" spans="1:15" x14ac:dyDescent="0.3">
      <c r="C12" t="s">
        <v>615</v>
      </c>
      <c r="D12" t="s">
        <v>247</v>
      </c>
      <c r="E12" t="s">
        <v>616</v>
      </c>
      <c r="F12" t="s">
        <v>15</v>
      </c>
      <c r="G12" t="s">
        <v>124</v>
      </c>
      <c r="H12" s="5">
        <v>89960.6</v>
      </c>
      <c r="I12" t="s">
        <v>26</v>
      </c>
      <c r="J12" s="6">
        <v>43515</v>
      </c>
      <c r="K12">
        <v>1</v>
      </c>
      <c r="L12" t="s">
        <v>37</v>
      </c>
      <c r="M12" t="s">
        <v>77</v>
      </c>
      <c r="N12" s="9">
        <v>5.3397260273972602</v>
      </c>
      <c r="O12" t="s">
        <v>20</v>
      </c>
    </row>
    <row r="13" spans="1:15" x14ac:dyDescent="0.3">
      <c r="C13" t="s">
        <v>168</v>
      </c>
      <c r="D13" t="s">
        <v>169</v>
      </c>
      <c r="E13" t="s">
        <v>170</v>
      </c>
      <c r="F13" t="s">
        <v>15</v>
      </c>
      <c r="G13" t="s">
        <v>25</v>
      </c>
      <c r="H13" s="5">
        <v>80169.42</v>
      </c>
      <c r="I13" t="s">
        <v>26</v>
      </c>
      <c r="J13" s="6">
        <v>44053</v>
      </c>
      <c r="K13">
        <v>1</v>
      </c>
      <c r="L13" t="s">
        <v>18</v>
      </c>
      <c r="M13" t="s">
        <v>77</v>
      </c>
      <c r="N13" s="9">
        <v>3.8657534246575342</v>
      </c>
      <c r="O13" t="s">
        <v>20</v>
      </c>
    </row>
    <row r="14" spans="1:15" x14ac:dyDescent="0.3">
      <c r="C14" t="s">
        <v>168</v>
      </c>
      <c r="D14" t="s">
        <v>169</v>
      </c>
      <c r="E14" t="s">
        <v>170</v>
      </c>
      <c r="F14" t="s">
        <v>15</v>
      </c>
      <c r="G14" t="s">
        <v>25</v>
      </c>
      <c r="H14" s="5">
        <v>80169.42</v>
      </c>
      <c r="I14" t="s">
        <v>26</v>
      </c>
      <c r="J14" s="6">
        <v>44053</v>
      </c>
      <c r="K14">
        <v>1</v>
      </c>
      <c r="L14" t="s">
        <v>18</v>
      </c>
      <c r="M14" t="s">
        <v>77</v>
      </c>
      <c r="N14" s="9">
        <v>3.8657534246575342</v>
      </c>
      <c r="O14" t="s">
        <v>20</v>
      </c>
    </row>
    <row r="15" spans="1:15" x14ac:dyDescent="0.3">
      <c r="C15" t="s">
        <v>132</v>
      </c>
      <c r="D15" t="s">
        <v>133</v>
      </c>
      <c r="E15" t="s">
        <v>134</v>
      </c>
      <c r="F15" t="s">
        <v>15</v>
      </c>
      <c r="G15" t="s">
        <v>25</v>
      </c>
      <c r="H15" s="5">
        <v>90884.32</v>
      </c>
      <c r="I15" t="s">
        <v>26</v>
      </c>
      <c r="J15" s="6">
        <v>43826</v>
      </c>
      <c r="K15">
        <v>1</v>
      </c>
      <c r="L15" t="s">
        <v>18</v>
      </c>
      <c r="M15" t="s">
        <v>72</v>
      </c>
      <c r="N15" s="9">
        <v>4.4876712328767123</v>
      </c>
      <c r="O15" t="s">
        <v>20</v>
      </c>
    </row>
    <row r="16" spans="1:15" x14ac:dyDescent="0.3">
      <c r="C16" t="s">
        <v>132</v>
      </c>
      <c r="D16" t="s">
        <v>133</v>
      </c>
      <c r="E16" t="s">
        <v>134</v>
      </c>
      <c r="F16" t="s">
        <v>15</v>
      </c>
      <c r="G16" t="s">
        <v>25</v>
      </c>
      <c r="H16" s="5">
        <v>90884.32</v>
      </c>
      <c r="I16" t="s">
        <v>26</v>
      </c>
      <c r="J16" s="6">
        <v>43826</v>
      </c>
      <c r="K16">
        <v>1</v>
      </c>
      <c r="L16" t="s">
        <v>18</v>
      </c>
      <c r="M16" t="s">
        <v>72</v>
      </c>
      <c r="N16" s="9">
        <v>4.4876712328767123</v>
      </c>
      <c r="O16" t="s">
        <v>20</v>
      </c>
    </row>
    <row r="17" spans="3:15" x14ac:dyDescent="0.3">
      <c r="C17" t="s">
        <v>697</v>
      </c>
      <c r="D17" t="s">
        <v>133</v>
      </c>
      <c r="E17" t="s">
        <v>134</v>
      </c>
      <c r="F17" t="s">
        <v>15</v>
      </c>
      <c r="G17" t="s">
        <v>25</v>
      </c>
      <c r="H17" s="5">
        <v>90884.32</v>
      </c>
      <c r="I17" t="s">
        <v>26</v>
      </c>
      <c r="J17" s="6">
        <v>44039</v>
      </c>
      <c r="K17">
        <v>0.5</v>
      </c>
      <c r="L17" t="s">
        <v>18</v>
      </c>
      <c r="M17" t="s">
        <v>72</v>
      </c>
      <c r="N17" s="9">
        <v>3.904109589041096</v>
      </c>
      <c r="O17" t="s">
        <v>28</v>
      </c>
    </row>
    <row r="18" spans="3:15" x14ac:dyDescent="0.3">
      <c r="C18" t="s">
        <v>255</v>
      </c>
      <c r="D18" t="s">
        <v>256</v>
      </c>
      <c r="E18" t="s">
        <v>257</v>
      </c>
      <c r="F18" t="s">
        <v>15</v>
      </c>
      <c r="G18" t="s">
        <v>16</v>
      </c>
      <c r="H18" s="5">
        <v>114465.93</v>
      </c>
      <c r="I18" t="s">
        <v>17</v>
      </c>
      <c r="J18" s="6">
        <v>43291</v>
      </c>
      <c r="K18">
        <v>1</v>
      </c>
      <c r="L18" t="s">
        <v>76</v>
      </c>
      <c r="M18" t="s">
        <v>45</v>
      </c>
      <c r="N18" s="9">
        <v>5.9534246575342467</v>
      </c>
      <c r="O18" t="s">
        <v>20</v>
      </c>
    </row>
    <row r="19" spans="3:15" x14ac:dyDescent="0.3">
      <c r="C19" t="s">
        <v>243</v>
      </c>
      <c r="D19" t="s">
        <v>244</v>
      </c>
      <c r="E19" t="s">
        <v>245</v>
      </c>
      <c r="F19" t="s">
        <v>15</v>
      </c>
      <c r="G19" t="s">
        <v>131</v>
      </c>
      <c r="H19" s="5">
        <v>113747.56</v>
      </c>
      <c r="I19" t="s">
        <v>17</v>
      </c>
      <c r="J19" s="6">
        <v>44270</v>
      </c>
      <c r="K19">
        <v>0.7</v>
      </c>
      <c r="L19" t="s">
        <v>76</v>
      </c>
      <c r="M19" t="s">
        <v>72</v>
      </c>
      <c r="N19" s="9">
        <v>3.2712328767123289</v>
      </c>
      <c r="O19" t="s">
        <v>28</v>
      </c>
    </row>
    <row r="20" spans="3:15" x14ac:dyDescent="0.3">
      <c r="C20" t="s">
        <v>243</v>
      </c>
      <c r="D20" t="s">
        <v>244</v>
      </c>
      <c r="E20" t="s">
        <v>245</v>
      </c>
      <c r="F20" t="s">
        <v>15</v>
      </c>
      <c r="G20" t="s">
        <v>131</v>
      </c>
      <c r="H20" s="5">
        <v>113747.56</v>
      </c>
      <c r="I20" t="s">
        <v>17</v>
      </c>
      <c r="J20" s="6">
        <v>44270</v>
      </c>
      <c r="K20">
        <v>0.7</v>
      </c>
      <c r="L20" t="s">
        <v>76</v>
      </c>
      <c r="M20" t="s">
        <v>72</v>
      </c>
      <c r="N20" s="9">
        <v>3.2712328767123289</v>
      </c>
      <c r="O20" t="s">
        <v>28</v>
      </c>
    </row>
    <row r="21" spans="3:15" x14ac:dyDescent="0.3">
      <c r="C21" t="s">
        <v>371</v>
      </c>
      <c r="D21" t="s">
        <v>372</v>
      </c>
      <c r="E21" t="s">
        <v>373</v>
      </c>
      <c r="F21" t="s">
        <v>15</v>
      </c>
      <c r="G21" t="s">
        <v>101</v>
      </c>
      <c r="H21" s="5">
        <v>67633.850000000006</v>
      </c>
      <c r="I21" t="s">
        <v>26</v>
      </c>
      <c r="J21" s="6">
        <v>43340</v>
      </c>
      <c r="K21">
        <v>1</v>
      </c>
      <c r="L21" t="s">
        <v>18</v>
      </c>
      <c r="M21" t="s">
        <v>72</v>
      </c>
      <c r="N21" s="9">
        <v>5.8191780821917805</v>
      </c>
      <c r="O21" t="s">
        <v>20</v>
      </c>
    </row>
    <row r="22" spans="3:15" x14ac:dyDescent="0.3">
      <c r="C22" t="s">
        <v>648</v>
      </c>
      <c r="D22" t="s">
        <v>649</v>
      </c>
      <c r="E22" t="s">
        <v>650</v>
      </c>
      <c r="F22" t="s">
        <v>15</v>
      </c>
      <c r="G22" t="s">
        <v>97</v>
      </c>
      <c r="H22" s="5">
        <v>69862.38</v>
      </c>
      <c r="I22" t="s">
        <v>26</v>
      </c>
      <c r="J22" s="6">
        <v>43458</v>
      </c>
      <c r="K22">
        <v>1</v>
      </c>
      <c r="L22" t="s">
        <v>18</v>
      </c>
      <c r="M22" t="s">
        <v>45</v>
      </c>
      <c r="N22" s="9">
        <v>5.4958904109589044</v>
      </c>
      <c r="O22" t="s">
        <v>20</v>
      </c>
    </row>
    <row r="23" spans="3:15" x14ac:dyDescent="0.3">
      <c r="C23" t="s">
        <v>121</v>
      </c>
      <c r="D23" t="s">
        <v>122</v>
      </c>
      <c r="E23" t="s">
        <v>123</v>
      </c>
      <c r="F23" t="s">
        <v>15</v>
      </c>
      <c r="G23" t="s">
        <v>124</v>
      </c>
      <c r="H23" s="5">
        <v>104335.03999999999</v>
      </c>
      <c r="I23" t="s">
        <v>17</v>
      </c>
      <c r="J23" s="6">
        <v>43874</v>
      </c>
      <c r="K23">
        <v>1</v>
      </c>
      <c r="L23" t="s">
        <v>18</v>
      </c>
      <c r="M23" t="s">
        <v>72</v>
      </c>
      <c r="N23" s="9">
        <v>4.3561643835616435</v>
      </c>
      <c r="O23" t="s">
        <v>20</v>
      </c>
    </row>
    <row r="24" spans="3:15" x14ac:dyDescent="0.3">
      <c r="C24" t="s">
        <v>357</v>
      </c>
      <c r="D24" t="s">
        <v>358</v>
      </c>
      <c r="E24" t="s">
        <v>359</v>
      </c>
      <c r="F24" t="s">
        <v>15</v>
      </c>
      <c r="G24" t="s">
        <v>131</v>
      </c>
      <c r="H24" s="5">
        <v>89838.77</v>
      </c>
      <c r="I24" t="s">
        <v>26</v>
      </c>
      <c r="J24" s="6">
        <v>43602</v>
      </c>
      <c r="K24">
        <v>1</v>
      </c>
      <c r="L24" t="s">
        <v>18</v>
      </c>
      <c r="M24" t="s">
        <v>19</v>
      </c>
      <c r="N24" s="9">
        <v>5.1013698630136988</v>
      </c>
      <c r="O24" t="s">
        <v>20</v>
      </c>
    </row>
    <row r="25" spans="3:15" x14ac:dyDescent="0.3">
      <c r="C25" t="s">
        <v>528</v>
      </c>
      <c r="D25" t="s">
        <v>529</v>
      </c>
      <c r="E25" t="s">
        <v>530</v>
      </c>
      <c r="F25" t="s">
        <v>24</v>
      </c>
      <c r="G25" t="s">
        <v>54</v>
      </c>
      <c r="H25" s="5">
        <v>70755.5</v>
      </c>
      <c r="I25" t="s">
        <v>26</v>
      </c>
      <c r="J25" s="6">
        <v>44090</v>
      </c>
      <c r="K25">
        <v>0.8</v>
      </c>
      <c r="L25" t="s">
        <v>76</v>
      </c>
      <c r="M25" t="s">
        <v>41</v>
      </c>
      <c r="N25" s="9">
        <v>3.7643835616438355</v>
      </c>
      <c r="O25" t="s">
        <v>28</v>
      </c>
    </row>
    <row r="26" spans="3:15" x14ac:dyDescent="0.3">
      <c r="C26" t="s">
        <v>339</v>
      </c>
      <c r="D26" t="s">
        <v>340</v>
      </c>
      <c r="E26" t="s">
        <v>341</v>
      </c>
      <c r="F26" t="s">
        <v>24</v>
      </c>
      <c r="G26" t="s">
        <v>131</v>
      </c>
      <c r="H26" s="5">
        <v>111049.84</v>
      </c>
      <c r="I26" t="s">
        <v>17</v>
      </c>
      <c r="J26" s="6">
        <v>44393</v>
      </c>
      <c r="K26">
        <v>1</v>
      </c>
      <c r="L26" t="s">
        <v>18</v>
      </c>
      <c r="M26" t="s">
        <v>45</v>
      </c>
      <c r="N26" s="9">
        <v>2.9342465753424656</v>
      </c>
      <c r="O26" t="s">
        <v>20</v>
      </c>
    </row>
    <row r="27" spans="3:15" x14ac:dyDescent="0.3">
      <c r="C27" t="s">
        <v>312</v>
      </c>
      <c r="D27" t="s">
        <v>313</v>
      </c>
      <c r="E27" t="s">
        <v>314</v>
      </c>
      <c r="F27" t="s">
        <v>24</v>
      </c>
      <c r="G27" t="s">
        <v>131</v>
      </c>
      <c r="H27" s="5">
        <v>75733.740000000005</v>
      </c>
      <c r="I27" t="s">
        <v>26</v>
      </c>
      <c r="J27" s="6">
        <v>44382</v>
      </c>
      <c r="K27">
        <v>1</v>
      </c>
      <c r="L27" t="s">
        <v>18</v>
      </c>
      <c r="M27" t="s">
        <v>41</v>
      </c>
      <c r="N27" s="9">
        <v>2.9643835616438357</v>
      </c>
      <c r="O27" t="s">
        <v>20</v>
      </c>
    </row>
    <row r="28" spans="3:15" x14ac:dyDescent="0.3">
      <c r="C28" t="s">
        <v>718</v>
      </c>
      <c r="D28" t="s">
        <v>719</v>
      </c>
      <c r="E28" t="s">
        <v>720</v>
      </c>
      <c r="F28" t="s">
        <v>49</v>
      </c>
      <c r="G28" t="s">
        <v>101</v>
      </c>
      <c r="H28" s="5">
        <v>98012.63</v>
      </c>
      <c r="I28" t="s">
        <v>26</v>
      </c>
      <c r="J28" s="6">
        <v>43780</v>
      </c>
      <c r="K28">
        <v>1</v>
      </c>
      <c r="L28" t="s">
        <v>18</v>
      </c>
      <c r="M28" t="s">
        <v>19</v>
      </c>
      <c r="N28" s="9">
        <v>4.6136986301369864</v>
      </c>
      <c r="O28" t="s">
        <v>20</v>
      </c>
    </row>
    <row r="29" spans="3:15" x14ac:dyDescent="0.3">
      <c r="C29" t="s">
        <v>392</v>
      </c>
      <c r="D29" t="s">
        <v>393</v>
      </c>
      <c r="E29" t="s">
        <v>394</v>
      </c>
      <c r="F29" t="s">
        <v>15</v>
      </c>
      <c r="G29" t="s">
        <v>101</v>
      </c>
      <c r="H29" s="5">
        <v>95954.02</v>
      </c>
      <c r="I29" t="s">
        <v>26</v>
      </c>
      <c r="J29" s="6">
        <v>43567</v>
      </c>
      <c r="K29">
        <v>0.3</v>
      </c>
      <c r="L29" t="s">
        <v>18</v>
      </c>
      <c r="M29" t="s">
        <v>41</v>
      </c>
      <c r="N29" s="9">
        <v>5.1972602739726028</v>
      </c>
      <c r="O29" t="s">
        <v>28</v>
      </c>
    </row>
    <row r="30" spans="3:15" x14ac:dyDescent="0.3">
      <c r="C30" t="s">
        <v>654</v>
      </c>
      <c r="D30" t="s">
        <v>655</v>
      </c>
      <c r="E30" t="s">
        <v>656</v>
      </c>
      <c r="F30" t="s">
        <v>15</v>
      </c>
      <c r="G30" t="s">
        <v>97</v>
      </c>
      <c r="H30" s="5">
        <v>103494.94</v>
      </c>
      <c r="I30" t="s">
        <v>17</v>
      </c>
      <c r="J30" s="6">
        <v>43256</v>
      </c>
      <c r="K30">
        <v>1</v>
      </c>
      <c r="L30" t="s">
        <v>18</v>
      </c>
      <c r="M30" t="s">
        <v>19</v>
      </c>
      <c r="N30" s="9">
        <v>6.0493150684931507</v>
      </c>
      <c r="O30" t="s">
        <v>20</v>
      </c>
    </row>
    <row r="31" spans="3:15" x14ac:dyDescent="0.3">
      <c r="C31" t="s">
        <v>654</v>
      </c>
      <c r="D31" t="s">
        <v>655</v>
      </c>
      <c r="E31" t="s">
        <v>656</v>
      </c>
      <c r="F31" t="s">
        <v>15</v>
      </c>
      <c r="G31" t="s">
        <v>97</v>
      </c>
      <c r="H31" s="5">
        <v>103494.94</v>
      </c>
      <c r="I31" t="s">
        <v>17</v>
      </c>
      <c r="J31" s="6">
        <v>43256</v>
      </c>
      <c r="K31">
        <v>1</v>
      </c>
      <c r="L31" t="s">
        <v>18</v>
      </c>
      <c r="M31" t="s">
        <v>19</v>
      </c>
      <c r="N31" s="9">
        <v>6.0493150684931507</v>
      </c>
      <c r="O31" t="s">
        <v>20</v>
      </c>
    </row>
    <row r="32" spans="3:15" x14ac:dyDescent="0.3">
      <c r="C32" t="s">
        <v>492</v>
      </c>
      <c r="D32" t="s">
        <v>493</v>
      </c>
      <c r="E32" t="s">
        <v>494</v>
      </c>
      <c r="F32" t="s">
        <v>15</v>
      </c>
      <c r="G32" t="s">
        <v>105</v>
      </c>
      <c r="H32" s="5">
        <v>96753.78</v>
      </c>
      <c r="I32" t="s">
        <v>26</v>
      </c>
      <c r="J32" s="6">
        <v>44494</v>
      </c>
      <c r="K32">
        <v>1</v>
      </c>
      <c r="L32" t="s">
        <v>18</v>
      </c>
      <c r="M32" t="s">
        <v>77</v>
      </c>
      <c r="N32" s="9">
        <v>2.6575342465753424</v>
      </c>
      <c r="O32" t="s">
        <v>20</v>
      </c>
    </row>
    <row r="33" spans="3:15" x14ac:dyDescent="0.3">
      <c r="C33" t="s">
        <v>492</v>
      </c>
      <c r="D33" t="s">
        <v>493</v>
      </c>
      <c r="E33" t="s">
        <v>494</v>
      </c>
      <c r="F33" t="s">
        <v>15</v>
      </c>
      <c r="G33" t="s">
        <v>105</v>
      </c>
      <c r="H33" s="5">
        <v>96753.78</v>
      </c>
      <c r="I33" t="s">
        <v>26</v>
      </c>
      <c r="J33" s="6">
        <v>44494</v>
      </c>
      <c r="K33">
        <v>1</v>
      </c>
      <c r="L33" t="s">
        <v>18</v>
      </c>
      <c r="M33" t="s">
        <v>77</v>
      </c>
      <c r="N33" s="9">
        <v>2.6575342465753424</v>
      </c>
      <c r="O33" t="s">
        <v>20</v>
      </c>
    </row>
    <row r="34" spans="3:15" x14ac:dyDescent="0.3">
      <c r="C34" t="s">
        <v>419</v>
      </c>
      <c r="D34" t="s">
        <v>420</v>
      </c>
      <c r="E34" t="s">
        <v>421</v>
      </c>
      <c r="F34" t="s">
        <v>15</v>
      </c>
      <c r="G34" t="s">
        <v>124</v>
      </c>
      <c r="H34" s="5">
        <v>74924.649999999994</v>
      </c>
      <c r="I34" t="s">
        <v>26</v>
      </c>
      <c r="J34" s="6">
        <v>44239</v>
      </c>
      <c r="K34">
        <v>1</v>
      </c>
      <c r="L34" t="s">
        <v>18</v>
      </c>
      <c r="M34" t="s">
        <v>41</v>
      </c>
      <c r="N34" s="9">
        <v>3.3561643835616439</v>
      </c>
      <c r="O34" t="s">
        <v>20</v>
      </c>
    </row>
    <row r="35" spans="3:15" x14ac:dyDescent="0.3">
      <c r="C35" t="s">
        <v>297</v>
      </c>
      <c r="D35" t="s">
        <v>298</v>
      </c>
      <c r="E35" t="s">
        <v>299</v>
      </c>
      <c r="F35" t="s">
        <v>24</v>
      </c>
      <c r="G35" t="s">
        <v>36</v>
      </c>
      <c r="H35" s="5">
        <v>101187.36</v>
      </c>
      <c r="I35" t="s">
        <v>17</v>
      </c>
      <c r="J35" s="6">
        <v>43258</v>
      </c>
      <c r="K35">
        <v>1</v>
      </c>
      <c r="L35" t="s">
        <v>37</v>
      </c>
      <c r="M35" t="s">
        <v>72</v>
      </c>
      <c r="N35" s="9">
        <v>6.043835616438356</v>
      </c>
      <c r="O35" t="s">
        <v>20</v>
      </c>
    </row>
    <row r="36" spans="3:15" x14ac:dyDescent="0.3">
      <c r="C36" t="s">
        <v>566</v>
      </c>
      <c r="D36" t="s">
        <v>567</v>
      </c>
      <c r="E36" t="s">
        <v>568</v>
      </c>
      <c r="F36" t="s">
        <v>24</v>
      </c>
      <c r="G36" t="s">
        <v>32</v>
      </c>
      <c r="H36" s="5">
        <v>32269.91</v>
      </c>
      <c r="I36" t="s">
        <v>65</v>
      </c>
      <c r="J36" s="6">
        <v>43346</v>
      </c>
      <c r="K36">
        <v>1</v>
      </c>
      <c r="L36" t="s">
        <v>18</v>
      </c>
      <c r="M36" t="s">
        <v>19</v>
      </c>
      <c r="N36" s="9">
        <v>5.8027397260273972</v>
      </c>
      <c r="O36" t="s">
        <v>20</v>
      </c>
    </row>
    <row r="37" spans="3:15" x14ac:dyDescent="0.3">
      <c r="C37" t="s">
        <v>404</v>
      </c>
      <c r="D37" t="s">
        <v>405</v>
      </c>
      <c r="E37" t="s">
        <v>406</v>
      </c>
      <c r="F37" t="s">
        <v>24</v>
      </c>
      <c r="G37" t="s">
        <v>50</v>
      </c>
      <c r="H37" s="5">
        <v>88034.67</v>
      </c>
      <c r="I37" t="s">
        <v>26</v>
      </c>
      <c r="J37" s="6">
        <v>43669</v>
      </c>
      <c r="K37">
        <v>1</v>
      </c>
      <c r="L37" t="s">
        <v>18</v>
      </c>
      <c r="M37" t="s">
        <v>19</v>
      </c>
      <c r="N37" s="9">
        <v>4.9178082191780819</v>
      </c>
      <c r="O37" t="s">
        <v>20</v>
      </c>
    </row>
    <row r="38" spans="3:15" x14ac:dyDescent="0.3">
      <c r="C38" t="s">
        <v>416</v>
      </c>
      <c r="D38" t="s">
        <v>417</v>
      </c>
      <c r="E38" t="s">
        <v>418</v>
      </c>
      <c r="F38" t="s">
        <v>24</v>
      </c>
      <c r="G38" t="s">
        <v>54</v>
      </c>
      <c r="H38" s="5">
        <v>68008.55</v>
      </c>
      <c r="I38" t="s">
        <v>26</v>
      </c>
      <c r="J38" s="6">
        <v>44062</v>
      </c>
      <c r="K38">
        <v>1</v>
      </c>
      <c r="L38" t="s">
        <v>18</v>
      </c>
      <c r="M38" t="s">
        <v>77</v>
      </c>
      <c r="N38" s="9">
        <v>3.8410958904109589</v>
      </c>
      <c r="O38" t="s">
        <v>20</v>
      </c>
    </row>
    <row r="39" spans="3:15" x14ac:dyDescent="0.3">
      <c r="C39" t="s">
        <v>201</v>
      </c>
      <c r="D39" t="s">
        <v>619</v>
      </c>
      <c r="E39" t="s">
        <v>620</v>
      </c>
      <c r="F39" t="s">
        <v>24</v>
      </c>
      <c r="G39" t="s">
        <v>36</v>
      </c>
      <c r="H39" s="5">
        <v>116767.63</v>
      </c>
      <c r="I39" t="s">
        <v>17</v>
      </c>
      <c r="J39" s="6">
        <v>43949</v>
      </c>
      <c r="K39">
        <v>0.4</v>
      </c>
      <c r="L39" t="s">
        <v>76</v>
      </c>
      <c r="M39" t="s">
        <v>84</v>
      </c>
      <c r="N39" s="9">
        <v>4.1506849315068495</v>
      </c>
      <c r="O39" t="s">
        <v>28</v>
      </c>
    </row>
    <row r="40" spans="3:15" x14ac:dyDescent="0.3">
      <c r="C40" t="s">
        <v>554</v>
      </c>
      <c r="D40" t="s">
        <v>555</v>
      </c>
      <c r="E40" t="s">
        <v>556</v>
      </c>
      <c r="F40" t="s">
        <v>15</v>
      </c>
      <c r="G40" t="s">
        <v>54</v>
      </c>
      <c r="H40" s="5">
        <v>31816.57</v>
      </c>
      <c r="I40" t="s">
        <v>65</v>
      </c>
      <c r="J40" s="6">
        <v>43497</v>
      </c>
      <c r="K40">
        <v>0.3</v>
      </c>
      <c r="L40" t="s">
        <v>37</v>
      </c>
      <c r="M40" t="s">
        <v>19</v>
      </c>
      <c r="N40" s="9">
        <v>5.3890410958904109</v>
      </c>
      <c r="O40" t="s">
        <v>28</v>
      </c>
    </row>
    <row r="41" spans="3:15" x14ac:dyDescent="0.3">
      <c r="C41" t="s">
        <v>633</v>
      </c>
      <c r="D41" t="s">
        <v>634</v>
      </c>
      <c r="E41" t="s">
        <v>635</v>
      </c>
      <c r="F41" t="s">
        <v>24</v>
      </c>
      <c r="G41" t="s">
        <v>36</v>
      </c>
      <c r="H41" s="5">
        <v>99965.97</v>
      </c>
      <c r="I41" t="s">
        <v>26</v>
      </c>
      <c r="J41" s="6">
        <v>43133</v>
      </c>
      <c r="K41">
        <v>1</v>
      </c>
      <c r="L41" t="s">
        <v>18</v>
      </c>
      <c r="M41" t="s">
        <v>19</v>
      </c>
      <c r="N41" s="9">
        <v>6.3863013698630136</v>
      </c>
      <c r="O41" t="s">
        <v>20</v>
      </c>
    </row>
    <row r="42" spans="3:15" x14ac:dyDescent="0.3">
      <c r="C42" t="s">
        <v>596</v>
      </c>
      <c r="D42" t="s">
        <v>597</v>
      </c>
      <c r="E42" t="s">
        <v>598</v>
      </c>
      <c r="F42" t="s">
        <v>15</v>
      </c>
      <c r="G42" t="s">
        <v>131</v>
      </c>
      <c r="H42" s="5">
        <v>29774.76</v>
      </c>
      <c r="I42" t="s">
        <v>65</v>
      </c>
      <c r="J42" s="6">
        <v>44105</v>
      </c>
      <c r="K42">
        <v>1</v>
      </c>
      <c r="L42" t="s">
        <v>18</v>
      </c>
      <c r="M42" t="s">
        <v>45</v>
      </c>
      <c r="N42" s="9">
        <v>3.7232876712328768</v>
      </c>
      <c r="O42" t="s">
        <v>20</v>
      </c>
    </row>
    <row r="43" spans="3:15" x14ac:dyDescent="0.3">
      <c r="C43" t="s">
        <v>342</v>
      </c>
      <c r="D43" t="s">
        <v>343</v>
      </c>
      <c r="E43" t="s">
        <v>344</v>
      </c>
      <c r="F43" t="s">
        <v>24</v>
      </c>
      <c r="G43" t="s">
        <v>50</v>
      </c>
      <c r="H43" s="5">
        <v>75974.990000000005</v>
      </c>
      <c r="I43" t="s">
        <v>26</v>
      </c>
      <c r="J43" s="6">
        <v>44172</v>
      </c>
      <c r="K43">
        <v>1</v>
      </c>
      <c r="L43" t="s">
        <v>18</v>
      </c>
      <c r="M43" t="s">
        <v>19</v>
      </c>
      <c r="N43" s="9">
        <v>3.5397260273972604</v>
      </c>
      <c r="O43" t="s">
        <v>20</v>
      </c>
    </row>
    <row r="44" spans="3:15" x14ac:dyDescent="0.3">
      <c r="C44" t="s">
        <v>365</v>
      </c>
      <c r="D44" t="s">
        <v>366</v>
      </c>
      <c r="E44" t="s">
        <v>367</v>
      </c>
      <c r="F44" t="s">
        <v>24</v>
      </c>
      <c r="G44" t="s">
        <v>32</v>
      </c>
      <c r="H44" s="5">
        <v>89690.38</v>
      </c>
      <c r="I44" t="s">
        <v>26</v>
      </c>
      <c r="J44" s="6">
        <v>43213</v>
      </c>
      <c r="K44">
        <v>1</v>
      </c>
      <c r="L44" t="s">
        <v>18</v>
      </c>
      <c r="M44" t="s">
        <v>41</v>
      </c>
      <c r="N44" s="9">
        <v>6.1671232876712327</v>
      </c>
      <c r="O44" t="s">
        <v>20</v>
      </c>
    </row>
    <row r="45" spans="3:15" x14ac:dyDescent="0.3">
      <c r="C45" t="s">
        <v>59</v>
      </c>
      <c r="D45" t="s">
        <v>60</v>
      </c>
      <c r="E45" t="s">
        <v>61</v>
      </c>
      <c r="F45" t="s">
        <v>24</v>
      </c>
      <c r="G45" t="s">
        <v>25</v>
      </c>
      <c r="H45" s="5">
        <v>68980.52</v>
      </c>
      <c r="I45" t="s">
        <v>26</v>
      </c>
      <c r="J45" s="6">
        <v>43494</v>
      </c>
      <c r="K45">
        <v>0.8</v>
      </c>
      <c r="L45" t="s">
        <v>18</v>
      </c>
      <c r="M45" t="s">
        <v>19</v>
      </c>
      <c r="N45" s="9">
        <v>5.397260273972603</v>
      </c>
      <c r="O45" t="s">
        <v>28</v>
      </c>
    </row>
    <row r="46" spans="3:15" x14ac:dyDescent="0.3">
      <c r="C46" t="s">
        <v>602</v>
      </c>
      <c r="D46" t="s">
        <v>603</v>
      </c>
      <c r="E46" t="s">
        <v>604</v>
      </c>
      <c r="F46" t="s">
        <v>15</v>
      </c>
      <c r="G46" t="s">
        <v>101</v>
      </c>
      <c r="H46" s="5">
        <v>38825.18</v>
      </c>
      <c r="I46" t="s">
        <v>65</v>
      </c>
      <c r="J46" s="6">
        <v>43696</v>
      </c>
      <c r="K46">
        <v>1</v>
      </c>
      <c r="L46" t="s">
        <v>76</v>
      </c>
      <c r="M46" t="s">
        <v>19</v>
      </c>
      <c r="N46" s="9">
        <v>4.8438356164383558</v>
      </c>
      <c r="O46" t="s">
        <v>20</v>
      </c>
    </row>
    <row r="47" spans="3:15" x14ac:dyDescent="0.3">
      <c r="C47" t="s">
        <v>222</v>
      </c>
      <c r="D47" t="s">
        <v>223</v>
      </c>
      <c r="E47" t="s">
        <v>224</v>
      </c>
      <c r="F47" t="s">
        <v>24</v>
      </c>
      <c r="G47" t="s">
        <v>131</v>
      </c>
      <c r="H47" s="5">
        <v>31042.51</v>
      </c>
      <c r="I47" t="s">
        <v>65</v>
      </c>
      <c r="J47" s="6">
        <v>44473</v>
      </c>
      <c r="K47">
        <v>0.3</v>
      </c>
      <c r="L47" t="s">
        <v>37</v>
      </c>
      <c r="M47" t="s">
        <v>19</v>
      </c>
      <c r="N47" s="9">
        <v>2.7150684931506848</v>
      </c>
      <c r="O47" t="s">
        <v>28</v>
      </c>
    </row>
    <row r="48" spans="3:15" x14ac:dyDescent="0.3">
      <c r="C48" t="s">
        <v>198</v>
      </c>
      <c r="D48" t="s">
        <v>199</v>
      </c>
      <c r="E48" t="s">
        <v>200</v>
      </c>
      <c r="F48" t="s">
        <v>24</v>
      </c>
      <c r="G48" t="s">
        <v>97</v>
      </c>
      <c r="H48" s="5">
        <v>35943.620000000003</v>
      </c>
      <c r="I48" t="s">
        <v>65</v>
      </c>
      <c r="J48" s="6">
        <v>44078</v>
      </c>
      <c r="K48">
        <v>1</v>
      </c>
      <c r="L48" t="s">
        <v>18</v>
      </c>
      <c r="M48" t="s">
        <v>72</v>
      </c>
      <c r="N48" s="9">
        <v>3.7972602739726029</v>
      </c>
      <c r="O48" t="s">
        <v>20</v>
      </c>
    </row>
    <row r="49" spans="3:15" x14ac:dyDescent="0.3">
      <c r="C49" t="s">
        <v>407</v>
      </c>
      <c r="D49" t="s">
        <v>408</v>
      </c>
      <c r="E49" t="s">
        <v>409</v>
      </c>
      <c r="F49" t="s">
        <v>24</v>
      </c>
      <c r="G49" t="s">
        <v>58</v>
      </c>
      <c r="H49" s="5">
        <v>44447.26</v>
      </c>
      <c r="I49" t="s">
        <v>65</v>
      </c>
      <c r="J49" s="6">
        <v>43846</v>
      </c>
      <c r="K49">
        <v>0.4</v>
      </c>
      <c r="L49" t="s">
        <v>18</v>
      </c>
      <c r="M49" t="s">
        <v>27</v>
      </c>
      <c r="N49" s="9">
        <v>4.4328767123287669</v>
      </c>
      <c r="O49" t="s">
        <v>28</v>
      </c>
    </row>
    <row r="50" spans="3:15" x14ac:dyDescent="0.3">
      <c r="C50" t="s">
        <v>285</v>
      </c>
      <c r="D50" t="s">
        <v>286</v>
      </c>
      <c r="E50" t="s">
        <v>287</v>
      </c>
      <c r="F50" t="s">
        <v>24</v>
      </c>
      <c r="G50" t="s">
        <v>124</v>
      </c>
      <c r="H50" s="5">
        <v>75475.929999999993</v>
      </c>
      <c r="I50" t="s">
        <v>26</v>
      </c>
      <c r="J50" s="6">
        <v>43794</v>
      </c>
      <c r="K50">
        <v>1</v>
      </c>
      <c r="L50" t="s">
        <v>18</v>
      </c>
      <c r="M50" t="s">
        <v>19</v>
      </c>
      <c r="N50" s="9">
        <v>4.5753424657534243</v>
      </c>
      <c r="O50" t="s">
        <v>20</v>
      </c>
    </row>
    <row r="51" spans="3:15" x14ac:dyDescent="0.3">
      <c r="C51" t="s">
        <v>451</v>
      </c>
      <c r="D51" t="s">
        <v>452</v>
      </c>
      <c r="E51" t="s">
        <v>453</v>
      </c>
      <c r="F51" t="s">
        <v>15</v>
      </c>
      <c r="G51" t="s">
        <v>54</v>
      </c>
      <c r="H51" s="5">
        <v>89605.13</v>
      </c>
      <c r="I51" t="s">
        <v>26</v>
      </c>
      <c r="J51" s="6">
        <v>43258</v>
      </c>
      <c r="K51">
        <v>1</v>
      </c>
      <c r="L51" t="s">
        <v>18</v>
      </c>
      <c r="M51" t="s">
        <v>27</v>
      </c>
      <c r="N51" s="9">
        <v>6.043835616438356</v>
      </c>
      <c r="O51" t="s">
        <v>20</v>
      </c>
    </row>
    <row r="52" spans="3:15" x14ac:dyDescent="0.3">
      <c r="C52" t="s">
        <v>327</v>
      </c>
      <c r="D52" t="s">
        <v>328</v>
      </c>
      <c r="E52" t="s">
        <v>329</v>
      </c>
      <c r="F52" t="s">
        <v>15</v>
      </c>
      <c r="G52" t="s">
        <v>50</v>
      </c>
      <c r="H52" s="5">
        <v>59258.19</v>
      </c>
      <c r="I52" t="s">
        <v>26</v>
      </c>
      <c r="J52" s="6">
        <v>43452</v>
      </c>
      <c r="K52">
        <v>0.8</v>
      </c>
      <c r="L52" t="s">
        <v>18</v>
      </c>
      <c r="M52" t="s">
        <v>27</v>
      </c>
      <c r="N52" s="9">
        <v>5.5123287671232877</v>
      </c>
      <c r="O52" t="s">
        <v>28</v>
      </c>
    </row>
    <row r="53" spans="3:15" x14ac:dyDescent="0.3">
      <c r="C53" t="s">
        <v>327</v>
      </c>
      <c r="D53" t="s">
        <v>328</v>
      </c>
      <c r="E53" t="s">
        <v>329</v>
      </c>
      <c r="F53" t="s">
        <v>15</v>
      </c>
      <c r="G53" t="s">
        <v>50</v>
      </c>
      <c r="H53" s="5">
        <v>59258.19</v>
      </c>
      <c r="I53" t="s">
        <v>26</v>
      </c>
      <c r="J53" s="6">
        <v>43452</v>
      </c>
      <c r="K53">
        <v>0.8</v>
      </c>
      <c r="L53" t="s">
        <v>18</v>
      </c>
      <c r="M53" t="s">
        <v>27</v>
      </c>
      <c r="N53" s="9">
        <v>5.5123287671232877</v>
      </c>
      <c r="O53" t="s">
        <v>28</v>
      </c>
    </row>
    <row r="54" spans="3:15" x14ac:dyDescent="0.3">
      <c r="C54" t="s">
        <v>434</v>
      </c>
      <c r="D54" t="s">
        <v>435</v>
      </c>
      <c r="E54" t="s">
        <v>436</v>
      </c>
      <c r="F54" t="s">
        <v>15</v>
      </c>
      <c r="G54" t="s">
        <v>25</v>
      </c>
      <c r="H54" s="5">
        <v>110042.37</v>
      </c>
      <c r="I54" t="s">
        <v>17</v>
      </c>
      <c r="J54" s="6">
        <v>43914</v>
      </c>
      <c r="K54">
        <v>1</v>
      </c>
      <c r="L54" t="s">
        <v>18</v>
      </c>
      <c r="M54" t="s">
        <v>72</v>
      </c>
      <c r="N54" s="9">
        <v>4.2465753424657535</v>
      </c>
      <c r="O54" t="s">
        <v>20</v>
      </c>
    </row>
    <row r="55" spans="3:15" x14ac:dyDescent="0.3">
      <c r="C55" t="s">
        <v>351</v>
      </c>
      <c r="D55" t="s">
        <v>352</v>
      </c>
      <c r="E55" t="s">
        <v>353</v>
      </c>
      <c r="F55" t="s">
        <v>15</v>
      </c>
      <c r="G55" t="s">
        <v>101</v>
      </c>
      <c r="H55" s="5">
        <v>49915.14</v>
      </c>
      <c r="I55" t="s">
        <v>65</v>
      </c>
      <c r="J55" s="6">
        <v>43550</v>
      </c>
      <c r="K55">
        <v>1</v>
      </c>
      <c r="L55" t="s">
        <v>18</v>
      </c>
      <c r="M55" t="s">
        <v>19</v>
      </c>
      <c r="N55" s="9">
        <v>5.2438356164383562</v>
      </c>
      <c r="O55" t="s">
        <v>20</v>
      </c>
    </row>
    <row r="56" spans="3:15" x14ac:dyDescent="0.3">
      <c r="C56" t="s">
        <v>728</v>
      </c>
      <c r="D56" t="s">
        <v>729</v>
      </c>
      <c r="E56" t="s">
        <v>730</v>
      </c>
      <c r="F56" t="s">
        <v>24</v>
      </c>
      <c r="G56" t="s">
        <v>105</v>
      </c>
      <c r="H56" s="5">
        <v>47551.89</v>
      </c>
      <c r="I56" t="s">
        <v>65</v>
      </c>
      <c r="J56" s="6">
        <v>43468</v>
      </c>
      <c r="K56">
        <v>1</v>
      </c>
      <c r="L56" t="s">
        <v>18</v>
      </c>
      <c r="M56" t="s">
        <v>77</v>
      </c>
      <c r="N56" s="9">
        <v>5.4684931506849317</v>
      </c>
      <c r="O56" t="s">
        <v>20</v>
      </c>
    </row>
    <row r="57" spans="3:15" x14ac:dyDescent="0.3">
      <c r="C57" t="s">
        <v>484</v>
      </c>
      <c r="D57" t="s">
        <v>485</v>
      </c>
      <c r="E57" t="s">
        <v>486</v>
      </c>
      <c r="F57" t="s">
        <v>24</v>
      </c>
      <c r="G57" t="s">
        <v>25</v>
      </c>
      <c r="H57" s="5">
        <v>61688.77</v>
      </c>
      <c r="I57" t="s">
        <v>26</v>
      </c>
      <c r="J57" s="6">
        <v>43346</v>
      </c>
      <c r="K57">
        <v>0.9</v>
      </c>
      <c r="L57" t="s">
        <v>18</v>
      </c>
      <c r="M57" t="s">
        <v>84</v>
      </c>
      <c r="N57" s="9">
        <v>5.8027397260273972</v>
      </c>
      <c r="O57" t="s">
        <v>28</v>
      </c>
    </row>
    <row r="58" spans="3:15" x14ac:dyDescent="0.3">
      <c r="C58" t="s">
        <v>288</v>
      </c>
      <c r="D58" t="s">
        <v>289</v>
      </c>
      <c r="E58" t="s">
        <v>290</v>
      </c>
      <c r="F58" t="s">
        <v>24</v>
      </c>
      <c r="G58" t="s">
        <v>25</v>
      </c>
      <c r="H58" s="5">
        <v>86558.58</v>
      </c>
      <c r="I58" t="s">
        <v>26</v>
      </c>
      <c r="J58" s="6">
        <v>43887</v>
      </c>
      <c r="K58">
        <v>1</v>
      </c>
      <c r="L58" t="s">
        <v>37</v>
      </c>
      <c r="M58" t="s">
        <v>19</v>
      </c>
      <c r="N58" s="9">
        <v>4.3205479452054796</v>
      </c>
      <c r="O58" t="s">
        <v>20</v>
      </c>
    </row>
    <row r="59" spans="3:15" x14ac:dyDescent="0.3">
      <c r="C59" t="s">
        <v>663</v>
      </c>
      <c r="D59" t="s">
        <v>664</v>
      </c>
      <c r="E59" t="s">
        <v>665</v>
      </c>
      <c r="F59" t="s">
        <v>24</v>
      </c>
      <c r="G59" t="s">
        <v>58</v>
      </c>
      <c r="H59" s="5">
        <v>46751.7</v>
      </c>
      <c r="I59" t="s">
        <v>65</v>
      </c>
      <c r="J59" s="6">
        <v>43843</v>
      </c>
      <c r="K59">
        <v>1</v>
      </c>
      <c r="L59" t="s">
        <v>37</v>
      </c>
      <c r="M59" t="s">
        <v>41</v>
      </c>
      <c r="N59" s="9">
        <v>4.441095890410959</v>
      </c>
      <c r="O59" t="s">
        <v>20</v>
      </c>
    </row>
    <row r="60" spans="3:15" x14ac:dyDescent="0.3">
      <c r="C60" t="s">
        <v>66</v>
      </c>
      <c r="D60" t="s">
        <v>67</v>
      </c>
      <c r="E60" t="s">
        <v>68</v>
      </c>
      <c r="F60" t="s">
        <v>24</v>
      </c>
      <c r="G60" t="s">
        <v>16</v>
      </c>
      <c r="H60" s="5">
        <v>114425.19</v>
      </c>
      <c r="I60" t="s">
        <v>17</v>
      </c>
      <c r="J60" s="6">
        <v>43857</v>
      </c>
      <c r="K60">
        <v>1</v>
      </c>
      <c r="L60" t="s">
        <v>18</v>
      </c>
      <c r="M60" t="s">
        <v>45</v>
      </c>
      <c r="N60" s="9">
        <v>4.4027397260273968</v>
      </c>
      <c r="O60" t="s">
        <v>20</v>
      </c>
    </row>
    <row r="61" spans="3:15" x14ac:dyDescent="0.3">
      <c r="C61" t="s">
        <v>42</v>
      </c>
      <c r="D61" t="s">
        <v>43</v>
      </c>
      <c r="E61" t="s">
        <v>44</v>
      </c>
      <c r="F61" t="s">
        <v>15</v>
      </c>
      <c r="G61" t="s">
        <v>16</v>
      </c>
      <c r="H61" s="5">
        <v>118976.16</v>
      </c>
      <c r="I61" t="s">
        <v>17</v>
      </c>
      <c r="J61" s="6">
        <v>44120</v>
      </c>
      <c r="K61">
        <v>1</v>
      </c>
      <c r="L61" t="s">
        <v>18</v>
      </c>
      <c r="M61" t="s">
        <v>45</v>
      </c>
      <c r="N61" s="9">
        <v>3.6821917808219178</v>
      </c>
      <c r="O61" t="s">
        <v>20</v>
      </c>
    </row>
    <row r="62" spans="3:15" x14ac:dyDescent="0.3">
      <c r="C62" t="s">
        <v>460</v>
      </c>
      <c r="D62" t="s">
        <v>461</v>
      </c>
      <c r="E62" t="s">
        <v>462</v>
      </c>
      <c r="F62" t="s">
        <v>15</v>
      </c>
      <c r="G62" t="s">
        <v>32</v>
      </c>
      <c r="H62" s="5">
        <v>100424.23</v>
      </c>
      <c r="I62" t="s">
        <v>17</v>
      </c>
      <c r="J62" s="6">
        <v>43801</v>
      </c>
      <c r="K62">
        <v>1</v>
      </c>
      <c r="L62" t="s">
        <v>18</v>
      </c>
      <c r="M62" t="s">
        <v>77</v>
      </c>
      <c r="N62" s="9">
        <v>4.5561643835616437</v>
      </c>
      <c r="O62" t="s">
        <v>20</v>
      </c>
    </row>
    <row r="63" spans="3:15" x14ac:dyDescent="0.3">
      <c r="C63" t="s">
        <v>721</v>
      </c>
      <c r="D63" t="s">
        <v>220</v>
      </c>
      <c r="E63" t="s">
        <v>221</v>
      </c>
      <c r="F63" t="s">
        <v>15</v>
      </c>
      <c r="G63" t="s">
        <v>97</v>
      </c>
      <c r="H63" s="5">
        <v>72876.91</v>
      </c>
      <c r="I63" t="s">
        <v>26</v>
      </c>
      <c r="J63" s="6">
        <v>43837</v>
      </c>
      <c r="K63">
        <v>1</v>
      </c>
      <c r="L63" t="s">
        <v>18</v>
      </c>
      <c r="M63" t="s">
        <v>19</v>
      </c>
      <c r="N63" s="9">
        <v>4.4575342465753423</v>
      </c>
      <c r="O63" t="s">
        <v>20</v>
      </c>
    </row>
    <row r="64" spans="3:15" x14ac:dyDescent="0.3">
      <c r="C64" t="s">
        <v>219</v>
      </c>
      <c r="D64" t="s">
        <v>220</v>
      </c>
      <c r="E64" t="s">
        <v>221</v>
      </c>
      <c r="F64" t="s">
        <v>15</v>
      </c>
      <c r="G64" t="s">
        <v>97</v>
      </c>
      <c r="H64" s="5">
        <v>72876.91</v>
      </c>
      <c r="I64" t="s">
        <v>26</v>
      </c>
      <c r="J64" s="6">
        <v>43612</v>
      </c>
      <c r="K64">
        <v>0.4</v>
      </c>
      <c r="L64" t="s">
        <v>37</v>
      </c>
      <c r="M64" t="s">
        <v>77</v>
      </c>
      <c r="N64" s="9">
        <v>5.0739726027397261</v>
      </c>
      <c r="O64" t="s">
        <v>28</v>
      </c>
    </row>
    <row r="65" spans="3:15" x14ac:dyDescent="0.3">
      <c r="C65" t="s">
        <v>118</v>
      </c>
      <c r="D65" t="s">
        <v>119</v>
      </c>
      <c r="E65" t="s">
        <v>120</v>
      </c>
      <c r="F65" t="s">
        <v>24</v>
      </c>
      <c r="G65" t="s">
        <v>32</v>
      </c>
      <c r="H65" s="5">
        <v>89690.38</v>
      </c>
      <c r="I65" t="s">
        <v>26</v>
      </c>
      <c r="J65" s="6">
        <v>43206</v>
      </c>
      <c r="K65">
        <v>1</v>
      </c>
      <c r="L65" t="s">
        <v>18</v>
      </c>
      <c r="M65" t="s">
        <v>45</v>
      </c>
      <c r="N65" s="9">
        <v>6.1863013698630134</v>
      </c>
      <c r="O65" t="s">
        <v>20</v>
      </c>
    </row>
    <row r="66" spans="3:15" x14ac:dyDescent="0.3">
      <c r="C66" t="s">
        <v>519</v>
      </c>
      <c r="D66" t="s">
        <v>520</v>
      </c>
      <c r="E66" t="s">
        <v>521</v>
      </c>
      <c r="F66" t="s">
        <v>24</v>
      </c>
      <c r="G66" t="s">
        <v>54</v>
      </c>
      <c r="H66" s="5">
        <v>104903.79</v>
      </c>
      <c r="I66" t="s">
        <v>17</v>
      </c>
      <c r="J66" s="6">
        <v>43649</v>
      </c>
      <c r="K66">
        <v>1</v>
      </c>
      <c r="L66" t="s">
        <v>18</v>
      </c>
      <c r="M66" t="s">
        <v>84</v>
      </c>
      <c r="N66" s="9">
        <v>4.9726027397260273</v>
      </c>
      <c r="O66" t="s">
        <v>20</v>
      </c>
    </row>
    <row r="67" spans="3:15" x14ac:dyDescent="0.3">
      <c r="C67" t="s">
        <v>306</v>
      </c>
      <c r="D67" t="s">
        <v>307</v>
      </c>
      <c r="E67" t="s">
        <v>308</v>
      </c>
      <c r="F67" t="s">
        <v>15</v>
      </c>
      <c r="G67" t="s">
        <v>16</v>
      </c>
      <c r="H67" s="5">
        <v>47362.62</v>
      </c>
      <c r="I67" t="s">
        <v>65</v>
      </c>
      <c r="J67" s="6">
        <v>43973</v>
      </c>
      <c r="K67">
        <v>1</v>
      </c>
      <c r="L67" t="s">
        <v>76</v>
      </c>
      <c r="M67" t="s">
        <v>19</v>
      </c>
      <c r="N67" s="9">
        <v>4.0849315068493155</v>
      </c>
      <c r="O67" t="s">
        <v>20</v>
      </c>
    </row>
    <row r="68" spans="3:15" x14ac:dyDescent="0.3">
      <c r="C68" t="s">
        <v>315</v>
      </c>
      <c r="D68" t="s">
        <v>316</v>
      </c>
      <c r="E68" t="s">
        <v>317</v>
      </c>
      <c r="F68" t="s">
        <v>24</v>
      </c>
      <c r="G68" t="s">
        <v>101</v>
      </c>
      <c r="H68" s="5">
        <v>71823.56</v>
      </c>
      <c r="I68" t="s">
        <v>26</v>
      </c>
      <c r="J68" s="6">
        <v>43374</v>
      </c>
      <c r="K68">
        <v>0.3</v>
      </c>
      <c r="L68" t="s">
        <v>76</v>
      </c>
      <c r="M68" t="s">
        <v>19</v>
      </c>
      <c r="N68" s="9">
        <v>5.7260273972602738</v>
      </c>
      <c r="O68" t="s">
        <v>28</v>
      </c>
    </row>
    <row r="69" spans="3:15" x14ac:dyDescent="0.3">
      <c r="C69" t="s">
        <v>315</v>
      </c>
      <c r="D69" t="s">
        <v>316</v>
      </c>
      <c r="E69" t="s">
        <v>317</v>
      </c>
      <c r="F69" t="s">
        <v>24</v>
      </c>
      <c r="G69" t="s">
        <v>101</v>
      </c>
      <c r="H69" s="5">
        <v>71823.56</v>
      </c>
      <c r="I69" t="s">
        <v>26</v>
      </c>
      <c r="J69" s="6">
        <v>43374</v>
      </c>
      <c r="K69">
        <v>0.3</v>
      </c>
      <c r="L69" t="s">
        <v>76</v>
      </c>
      <c r="M69" t="s">
        <v>19</v>
      </c>
      <c r="N69" s="9">
        <v>5.7260273972602738</v>
      </c>
      <c r="O69" t="s">
        <v>28</v>
      </c>
    </row>
    <row r="70" spans="3:15" x14ac:dyDescent="0.3">
      <c r="C70" t="s">
        <v>128</v>
      </c>
      <c r="D70" t="s">
        <v>129</v>
      </c>
      <c r="E70" t="s">
        <v>130</v>
      </c>
      <c r="F70" t="s">
        <v>15</v>
      </c>
      <c r="G70" t="s">
        <v>131</v>
      </c>
      <c r="H70" s="5">
        <v>90697.67</v>
      </c>
      <c r="I70" t="s">
        <v>26</v>
      </c>
      <c r="J70" s="6">
        <v>44221</v>
      </c>
      <c r="K70">
        <v>0.8</v>
      </c>
      <c r="L70" t="s">
        <v>18</v>
      </c>
      <c r="M70" t="s">
        <v>27</v>
      </c>
      <c r="N70" s="9">
        <v>3.4054794520547946</v>
      </c>
      <c r="O70" t="s">
        <v>28</v>
      </c>
    </row>
    <row r="71" spans="3:15" x14ac:dyDescent="0.3">
      <c r="C71" t="s">
        <v>590</v>
      </c>
      <c r="D71" t="s">
        <v>591</v>
      </c>
      <c r="E71" t="s">
        <v>592</v>
      </c>
      <c r="F71" t="s">
        <v>15</v>
      </c>
      <c r="G71" t="s">
        <v>101</v>
      </c>
      <c r="H71" s="5">
        <v>35936.31</v>
      </c>
      <c r="I71" t="s">
        <v>65</v>
      </c>
      <c r="J71" s="6">
        <v>43241</v>
      </c>
      <c r="K71">
        <v>1</v>
      </c>
      <c r="L71" t="s">
        <v>18</v>
      </c>
      <c r="M71" t="s">
        <v>84</v>
      </c>
      <c r="N71" s="9">
        <v>6.0904109589041093</v>
      </c>
      <c r="O71" t="s">
        <v>20</v>
      </c>
    </row>
    <row r="72" spans="3:15" x14ac:dyDescent="0.3">
      <c r="C72" t="s">
        <v>85</v>
      </c>
      <c r="D72" t="s">
        <v>86</v>
      </c>
      <c r="E72" t="s">
        <v>87</v>
      </c>
      <c r="F72" t="s">
        <v>15</v>
      </c>
      <c r="G72" t="s">
        <v>16</v>
      </c>
      <c r="H72" s="5">
        <v>39969.72</v>
      </c>
      <c r="I72" t="s">
        <v>65</v>
      </c>
      <c r="J72" s="6">
        <v>43444</v>
      </c>
      <c r="K72">
        <v>1</v>
      </c>
      <c r="L72" t="s">
        <v>76</v>
      </c>
      <c r="M72" t="s">
        <v>72</v>
      </c>
      <c r="N72" s="9">
        <v>5.5342465753424657</v>
      </c>
      <c r="O72" t="s">
        <v>20</v>
      </c>
    </row>
    <row r="73" spans="3:15" x14ac:dyDescent="0.3">
      <c r="C73" t="s">
        <v>309</v>
      </c>
      <c r="D73" t="s">
        <v>310</v>
      </c>
      <c r="E73" t="s">
        <v>311</v>
      </c>
      <c r="F73" t="s">
        <v>24</v>
      </c>
      <c r="G73" t="s">
        <v>25</v>
      </c>
      <c r="H73" s="5">
        <v>70649.460000000006</v>
      </c>
      <c r="I73" t="s">
        <v>26</v>
      </c>
      <c r="J73" s="6">
        <v>43843</v>
      </c>
      <c r="K73">
        <v>1</v>
      </c>
      <c r="L73" t="s">
        <v>18</v>
      </c>
      <c r="M73" t="s">
        <v>41</v>
      </c>
      <c r="N73" s="9">
        <v>4.441095890410959</v>
      </c>
      <c r="O73" t="s">
        <v>20</v>
      </c>
    </row>
    <row r="74" spans="3:15" x14ac:dyDescent="0.3">
      <c r="C74" t="s">
        <v>81</v>
      </c>
      <c r="D74" t="s">
        <v>82</v>
      </c>
      <c r="E74" t="s">
        <v>83</v>
      </c>
      <c r="F74" t="s">
        <v>24</v>
      </c>
      <c r="G74" t="s">
        <v>36</v>
      </c>
      <c r="H74" s="5">
        <v>37902.35</v>
      </c>
      <c r="I74" t="s">
        <v>65</v>
      </c>
      <c r="J74" s="6">
        <v>43823</v>
      </c>
      <c r="K74">
        <v>1</v>
      </c>
      <c r="L74" t="s">
        <v>18</v>
      </c>
      <c r="M74" t="s">
        <v>84</v>
      </c>
      <c r="N74" s="9">
        <v>4.4958904109589044</v>
      </c>
      <c r="O74" t="s">
        <v>20</v>
      </c>
    </row>
    <row r="75" spans="3:15" x14ac:dyDescent="0.3">
      <c r="C75" t="s">
        <v>398</v>
      </c>
      <c r="D75" t="s">
        <v>399</v>
      </c>
      <c r="E75" t="s">
        <v>400</v>
      </c>
      <c r="F75" t="s">
        <v>24</v>
      </c>
      <c r="G75" t="s">
        <v>101</v>
      </c>
      <c r="H75" s="5">
        <v>76303.820000000007</v>
      </c>
      <c r="I75" t="s">
        <v>26</v>
      </c>
      <c r="J75" s="6">
        <v>43458</v>
      </c>
      <c r="K75">
        <v>1</v>
      </c>
      <c r="L75" t="s">
        <v>37</v>
      </c>
      <c r="M75" t="s">
        <v>41</v>
      </c>
      <c r="N75" s="9">
        <v>5.4958904109589044</v>
      </c>
      <c r="O75" t="s">
        <v>20</v>
      </c>
    </row>
    <row r="76" spans="3:15" x14ac:dyDescent="0.3">
      <c r="C76" t="s">
        <v>115</v>
      </c>
      <c r="D76" t="s">
        <v>116</v>
      </c>
      <c r="E76" t="s">
        <v>117</v>
      </c>
      <c r="F76" t="s">
        <v>24</v>
      </c>
      <c r="G76" t="s">
        <v>97</v>
      </c>
      <c r="H76" s="5">
        <v>61994.76</v>
      </c>
      <c r="I76" t="s">
        <v>26</v>
      </c>
      <c r="J76" s="6">
        <v>43794</v>
      </c>
      <c r="K76">
        <v>0.3</v>
      </c>
      <c r="L76" t="s">
        <v>18</v>
      </c>
      <c r="M76" t="s">
        <v>41</v>
      </c>
      <c r="N76" s="9">
        <v>4.5753424657534243</v>
      </c>
      <c r="O76" t="s">
        <v>28</v>
      </c>
    </row>
    <row r="77" spans="3:15" x14ac:dyDescent="0.3">
      <c r="C77" t="s">
        <v>180</v>
      </c>
      <c r="D77" t="s">
        <v>181</v>
      </c>
      <c r="E77" t="s">
        <v>182</v>
      </c>
      <c r="F77" t="s">
        <v>24</v>
      </c>
      <c r="G77" t="s">
        <v>124</v>
      </c>
      <c r="H77" s="5">
        <v>67818.14</v>
      </c>
      <c r="I77" t="s">
        <v>26</v>
      </c>
      <c r="J77" s="6">
        <v>43406</v>
      </c>
      <c r="K77">
        <v>0.6</v>
      </c>
      <c r="L77" t="s">
        <v>37</v>
      </c>
      <c r="M77" t="s">
        <v>19</v>
      </c>
      <c r="N77" s="9">
        <v>5.6383561643835618</v>
      </c>
      <c r="O77" t="s">
        <v>28</v>
      </c>
    </row>
    <row r="78" spans="3:15" x14ac:dyDescent="0.3">
      <c r="C78" t="s">
        <v>180</v>
      </c>
      <c r="D78" t="s">
        <v>181</v>
      </c>
      <c r="E78" t="s">
        <v>182</v>
      </c>
      <c r="F78" t="s">
        <v>24</v>
      </c>
      <c r="G78" t="s">
        <v>124</v>
      </c>
      <c r="H78" s="5">
        <v>67818.14</v>
      </c>
      <c r="I78" t="s">
        <v>26</v>
      </c>
      <c r="J78" s="6">
        <v>43406</v>
      </c>
      <c r="K78">
        <v>0.6</v>
      </c>
      <c r="L78" t="s">
        <v>37</v>
      </c>
      <c r="M78" t="s">
        <v>19</v>
      </c>
      <c r="N78" s="9">
        <v>5.6383561643835618</v>
      </c>
      <c r="O78" t="s">
        <v>28</v>
      </c>
    </row>
    <row r="79" spans="3:15" x14ac:dyDescent="0.3">
      <c r="C79" t="s">
        <v>267</v>
      </c>
      <c r="D79" t="s">
        <v>268</v>
      </c>
      <c r="E79" t="s">
        <v>269</v>
      </c>
      <c r="F79" t="s">
        <v>15</v>
      </c>
      <c r="G79" t="s">
        <v>97</v>
      </c>
      <c r="H79" s="5">
        <v>83396.5</v>
      </c>
      <c r="I79" t="s">
        <v>26</v>
      </c>
      <c r="J79" s="6">
        <v>44285</v>
      </c>
      <c r="K79">
        <v>1</v>
      </c>
      <c r="L79" t="s">
        <v>76</v>
      </c>
      <c r="M79" t="s">
        <v>77</v>
      </c>
      <c r="N79" s="9">
        <v>3.2301369863013698</v>
      </c>
      <c r="O79" t="s">
        <v>20</v>
      </c>
    </row>
    <row r="80" spans="3:15" x14ac:dyDescent="0.3">
      <c r="C80" t="s">
        <v>345</v>
      </c>
      <c r="D80" t="s">
        <v>346</v>
      </c>
      <c r="E80" t="s">
        <v>347</v>
      </c>
      <c r="F80" t="s">
        <v>24</v>
      </c>
      <c r="G80" t="s">
        <v>32</v>
      </c>
      <c r="H80" s="5">
        <v>42161.77</v>
      </c>
      <c r="I80" t="s">
        <v>65</v>
      </c>
      <c r="J80" s="6">
        <v>43494</v>
      </c>
      <c r="K80">
        <v>1</v>
      </c>
      <c r="L80" t="s">
        <v>18</v>
      </c>
      <c r="M80" t="s">
        <v>77</v>
      </c>
      <c r="N80" s="9">
        <v>5.397260273972603</v>
      </c>
      <c r="O80" t="s">
        <v>20</v>
      </c>
    </row>
    <row r="81" spans="3:15" x14ac:dyDescent="0.3">
      <c r="C81" t="s">
        <v>210</v>
      </c>
      <c r="D81" t="s">
        <v>211</v>
      </c>
      <c r="E81" t="s">
        <v>212</v>
      </c>
      <c r="F81" t="s">
        <v>24</v>
      </c>
      <c r="G81" t="s">
        <v>124</v>
      </c>
      <c r="H81" s="5">
        <v>38438.239999999998</v>
      </c>
      <c r="I81" t="s">
        <v>65</v>
      </c>
      <c r="J81" s="6">
        <v>43962</v>
      </c>
      <c r="K81">
        <v>1</v>
      </c>
      <c r="L81" t="s">
        <v>18</v>
      </c>
      <c r="M81" t="s">
        <v>84</v>
      </c>
      <c r="N81" s="9">
        <v>4.1150684931506847</v>
      </c>
      <c r="O81" t="s">
        <v>20</v>
      </c>
    </row>
    <row r="82" spans="3:15" x14ac:dyDescent="0.3">
      <c r="C82" t="s">
        <v>501</v>
      </c>
      <c r="D82" t="s">
        <v>502</v>
      </c>
      <c r="E82" t="s">
        <v>503</v>
      </c>
      <c r="F82" t="s">
        <v>15</v>
      </c>
      <c r="G82" t="s">
        <v>101</v>
      </c>
      <c r="H82" s="5">
        <v>119022.49</v>
      </c>
      <c r="I82" t="s">
        <v>17</v>
      </c>
      <c r="J82" s="6">
        <v>44431</v>
      </c>
      <c r="K82">
        <v>1</v>
      </c>
      <c r="L82" t="s">
        <v>18</v>
      </c>
      <c r="M82" t="s">
        <v>77</v>
      </c>
      <c r="N82" s="9">
        <v>2.8301369863013699</v>
      </c>
      <c r="O82" t="s">
        <v>20</v>
      </c>
    </row>
    <row r="83" spans="3:15" x14ac:dyDescent="0.3">
      <c r="C83" t="s">
        <v>522</v>
      </c>
      <c r="D83" t="s">
        <v>523</v>
      </c>
      <c r="E83" t="s">
        <v>524</v>
      </c>
      <c r="F83" t="s">
        <v>15</v>
      </c>
      <c r="G83" t="s">
        <v>58</v>
      </c>
      <c r="H83" s="5">
        <v>28160.79</v>
      </c>
      <c r="I83" t="s">
        <v>65</v>
      </c>
      <c r="J83" s="6">
        <v>43129</v>
      </c>
      <c r="K83">
        <v>1</v>
      </c>
      <c r="L83" t="s">
        <v>76</v>
      </c>
      <c r="M83" t="s">
        <v>19</v>
      </c>
      <c r="N83" s="9">
        <v>6.397260273972603</v>
      </c>
      <c r="O83" t="s">
        <v>20</v>
      </c>
    </row>
    <row r="84" spans="3:15" x14ac:dyDescent="0.3">
      <c r="C84" t="s">
        <v>454</v>
      </c>
      <c r="D84" t="s">
        <v>455</v>
      </c>
      <c r="E84" t="s">
        <v>456</v>
      </c>
      <c r="F84" t="s">
        <v>49</v>
      </c>
      <c r="G84" t="s">
        <v>131</v>
      </c>
      <c r="H84" s="5">
        <v>63447.07</v>
      </c>
      <c r="I84" t="s">
        <v>26</v>
      </c>
      <c r="J84" s="6">
        <v>44148</v>
      </c>
      <c r="K84">
        <v>1</v>
      </c>
      <c r="L84" t="s">
        <v>76</v>
      </c>
      <c r="M84" t="s">
        <v>45</v>
      </c>
      <c r="N84" s="9">
        <v>3.6054794520547944</v>
      </c>
      <c r="O84" t="s">
        <v>20</v>
      </c>
    </row>
    <row r="85" spans="3:15" x14ac:dyDescent="0.3">
      <c r="C85" t="s">
        <v>548</v>
      </c>
      <c r="D85" t="s">
        <v>549</v>
      </c>
      <c r="E85" t="s">
        <v>550</v>
      </c>
      <c r="F85" t="s">
        <v>24</v>
      </c>
      <c r="G85" t="s">
        <v>16</v>
      </c>
      <c r="H85" s="5">
        <v>97105.19</v>
      </c>
      <c r="I85" t="s">
        <v>26</v>
      </c>
      <c r="J85" s="6">
        <v>44425</v>
      </c>
      <c r="K85">
        <v>1</v>
      </c>
      <c r="L85" t="s">
        <v>18</v>
      </c>
      <c r="M85" t="s">
        <v>72</v>
      </c>
      <c r="N85" s="9">
        <v>2.8465753424657536</v>
      </c>
      <c r="O85" t="s">
        <v>20</v>
      </c>
    </row>
    <row r="86" spans="3:15" x14ac:dyDescent="0.3">
      <c r="C86" t="s">
        <v>294</v>
      </c>
      <c r="D86" t="s">
        <v>295</v>
      </c>
      <c r="E86" t="s">
        <v>296</v>
      </c>
      <c r="F86" t="s">
        <v>15</v>
      </c>
      <c r="G86" t="s">
        <v>101</v>
      </c>
      <c r="H86" s="5">
        <v>91645.04</v>
      </c>
      <c r="I86" t="s">
        <v>26</v>
      </c>
      <c r="J86" s="6">
        <v>44223</v>
      </c>
      <c r="K86">
        <v>1</v>
      </c>
      <c r="L86" t="s">
        <v>18</v>
      </c>
      <c r="M86" t="s">
        <v>77</v>
      </c>
      <c r="N86" s="9">
        <v>3.4</v>
      </c>
      <c r="O86" t="s">
        <v>20</v>
      </c>
    </row>
    <row r="87" spans="3:15" x14ac:dyDescent="0.3">
      <c r="C87" t="s">
        <v>73</v>
      </c>
      <c r="D87" t="s">
        <v>74</v>
      </c>
      <c r="E87" t="s">
        <v>75</v>
      </c>
      <c r="F87" t="s">
        <v>15</v>
      </c>
      <c r="G87" t="s">
        <v>50</v>
      </c>
      <c r="H87" s="5">
        <v>61214.26</v>
      </c>
      <c r="I87" t="s">
        <v>26</v>
      </c>
      <c r="J87" s="6">
        <v>43171</v>
      </c>
      <c r="K87">
        <v>1</v>
      </c>
      <c r="L87" t="s">
        <v>76</v>
      </c>
      <c r="M87" t="s">
        <v>77</v>
      </c>
      <c r="N87" s="9">
        <v>6.2821917808219174</v>
      </c>
      <c r="O87" t="s">
        <v>20</v>
      </c>
    </row>
    <row r="88" spans="3:15" x14ac:dyDescent="0.3">
      <c r="C88" t="s">
        <v>445</v>
      </c>
      <c r="D88" t="s">
        <v>446</v>
      </c>
      <c r="E88" t="s">
        <v>447</v>
      </c>
      <c r="F88" t="s">
        <v>24</v>
      </c>
      <c r="G88" t="s">
        <v>32</v>
      </c>
      <c r="H88" s="5">
        <v>81897.789999999994</v>
      </c>
      <c r="I88" t="s">
        <v>26</v>
      </c>
      <c r="J88" s="6">
        <v>43146</v>
      </c>
      <c r="K88">
        <v>1</v>
      </c>
      <c r="L88" t="s">
        <v>18</v>
      </c>
      <c r="M88" t="s">
        <v>77</v>
      </c>
      <c r="N88" s="9">
        <v>6.3506849315068497</v>
      </c>
      <c r="O88" t="s">
        <v>20</v>
      </c>
    </row>
    <row r="89" spans="3:15" x14ac:dyDescent="0.3">
      <c r="C89" t="s">
        <v>240</v>
      </c>
      <c r="D89" t="s">
        <v>241</v>
      </c>
      <c r="E89" t="s">
        <v>242</v>
      </c>
      <c r="F89" t="s">
        <v>24</v>
      </c>
      <c r="G89" t="s">
        <v>124</v>
      </c>
      <c r="H89" s="5">
        <v>66865.490000000005</v>
      </c>
      <c r="I89" t="s">
        <v>26</v>
      </c>
      <c r="J89" s="6">
        <v>43514</v>
      </c>
      <c r="K89">
        <v>1</v>
      </c>
      <c r="L89" t="s">
        <v>18</v>
      </c>
      <c r="M89" t="s">
        <v>27</v>
      </c>
      <c r="N89" s="9">
        <v>5.3424657534246576</v>
      </c>
      <c r="O89" t="s">
        <v>20</v>
      </c>
    </row>
    <row r="90" spans="3:15" x14ac:dyDescent="0.3">
      <c r="C90" t="s">
        <v>240</v>
      </c>
      <c r="D90" t="s">
        <v>241</v>
      </c>
      <c r="E90" t="s">
        <v>242</v>
      </c>
      <c r="F90" t="s">
        <v>24</v>
      </c>
      <c r="G90" t="s">
        <v>124</v>
      </c>
      <c r="H90" s="5">
        <v>66865.490000000005</v>
      </c>
      <c r="I90" t="s">
        <v>26</v>
      </c>
      <c r="J90" s="6">
        <v>43514</v>
      </c>
      <c r="K90">
        <v>1</v>
      </c>
      <c r="L90" t="s">
        <v>18</v>
      </c>
      <c r="M90" t="s">
        <v>27</v>
      </c>
      <c r="N90" s="9">
        <v>5.3424657534246576</v>
      </c>
      <c r="O90" t="s">
        <v>20</v>
      </c>
    </row>
    <row r="91" spans="3:15" x14ac:dyDescent="0.3">
      <c r="C91" t="s">
        <v>735</v>
      </c>
      <c r="D91" t="s">
        <v>736</v>
      </c>
      <c r="E91" t="s">
        <v>737</v>
      </c>
      <c r="F91" t="s">
        <v>24</v>
      </c>
      <c r="G91" t="s">
        <v>105</v>
      </c>
      <c r="H91" s="5">
        <v>78020.39</v>
      </c>
      <c r="I91" t="s">
        <v>26</v>
      </c>
      <c r="J91" s="6">
        <v>43899</v>
      </c>
      <c r="K91">
        <v>1</v>
      </c>
      <c r="L91" t="s">
        <v>18</v>
      </c>
      <c r="M91" t="s">
        <v>19</v>
      </c>
      <c r="N91" s="9">
        <v>4.2876712328767121</v>
      </c>
      <c r="O91" t="s">
        <v>20</v>
      </c>
    </row>
    <row r="92" spans="3:15" x14ac:dyDescent="0.3">
      <c r="C92" t="s">
        <v>621</v>
      </c>
      <c r="D92" t="s">
        <v>622</v>
      </c>
      <c r="E92" t="s">
        <v>623</v>
      </c>
      <c r="F92" t="s">
        <v>15</v>
      </c>
      <c r="G92" t="s">
        <v>124</v>
      </c>
      <c r="H92" s="5">
        <v>80360.41</v>
      </c>
      <c r="I92" t="s">
        <v>26</v>
      </c>
      <c r="J92" s="6">
        <v>44167</v>
      </c>
      <c r="K92">
        <v>1</v>
      </c>
      <c r="L92" t="s">
        <v>18</v>
      </c>
      <c r="M92" t="s">
        <v>19</v>
      </c>
      <c r="N92" s="9">
        <v>3.5534246575342467</v>
      </c>
      <c r="O92" t="s">
        <v>20</v>
      </c>
    </row>
    <row r="93" spans="3:15" x14ac:dyDescent="0.3">
      <c r="C93" t="s">
        <v>422</v>
      </c>
      <c r="D93" t="s">
        <v>423</v>
      </c>
      <c r="E93" t="s">
        <v>424</v>
      </c>
      <c r="F93" t="s">
        <v>15</v>
      </c>
      <c r="G93" t="s">
        <v>32</v>
      </c>
      <c r="H93" s="5">
        <v>88689.09</v>
      </c>
      <c r="I93" t="s">
        <v>26</v>
      </c>
      <c r="J93" s="6">
        <v>43740</v>
      </c>
      <c r="K93">
        <v>1</v>
      </c>
      <c r="L93" t="s">
        <v>18</v>
      </c>
      <c r="M93" t="s">
        <v>27</v>
      </c>
      <c r="N93" s="9">
        <v>4.7232876712328764</v>
      </c>
      <c r="O93" t="s">
        <v>20</v>
      </c>
    </row>
    <row r="94" spans="3:15" x14ac:dyDescent="0.3">
      <c r="C94" t="s">
        <v>630</v>
      </c>
      <c r="D94" t="s">
        <v>631</v>
      </c>
      <c r="E94" t="s">
        <v>632</v>
      </c>
      <c r="F94" t="s">
        <v>24</v>
      </c>
      <c r="G94" t="s">
        <v>105</v>
      </c>
      <c r="H94" s="5">
        <v>102129.37</v>
      </c>
      <c r="I94" t="s">
        <v>17</v>
      </c>
      <c r="J94" s="6">
        <v>44396</v>
      </c>
      <c r="K94">
        <v>1</v>
      </c>
      <c r="L94" t="s">
        <v>18</v>
      </c>
      <c r="M94" t="s">
        <v>72</v>
      </c>
      <c r="N94" s="9">
        <v>2.9260273972602739</v>
      </c>
      <c r="O94" t="s">
        <v>20</v>
      </c>
    </row>
    <row r="95" spans="3:15" x14ac:dyDescent="0.3">
      <c r="C95" t="s">
        <v>33</v>
      </c>
      <c r="D95" t="s">
        <v>34</v>
      </c>
      <c r="E95" t="s">
        <v>35</v>
      </c>
      <c r="F95" t="s">
        <v>24</v>
      </c>
      <c r="G95" t="s">
        <v>36</v>
      </c>
      <c r="H95" s="5">
        <v>93128.34</v>
      </c>
      <c r="I95" t="s">
        <v>26</v>
      </c>
      <c r="J95" s="6">
        <v>43164</v>
      </c>
      <c r="K95">
        <v>1</v>
      </c>
      <c r="L95" t="s">
        <v>37</v>
      </c>
      <c r="M95" t="s">
        <v>27</v>
      </c>
      <c r="N95" s="9">
        <v>6.3013698630136989</v>
      </c>
      <c r="O95" t="s">
        <v>20</v>
      </c>
    </row>
    <row r="96" spans="3:15" x14ac:dyDescent="0.3">
      <c r="C96" t="s">
        <v>207</v>
      </c>
      <c r="D96" t="s">
        <v>592</v>
      </c>
      <c r="E96" t="s">
        <v>731</v>
      </c>
      <c r="F96" t="s">
        <v>24</v>
      </c>
      <c r="G96" t="s">
        <v>58</v>
      </c>
      <c r="H96" s="5">
        <v>39700.82</v>
      </c>
      <c r="I96" t="s">
        <v>65</v>
      </c>
      <c r="J96" s="6">
        <v>44203</v>
      </c>
      <c r="K96">
        <v>0.8</v>
      </c>
      <c r="L96" t="s">
        <v>18</v>
      </c>
      <c r="M96" t="s">
        <v>84</v>
      </c>
      <c r="N96" s="9">
        <v>3.4547945205479453</v>
      </c>
      <c r="O96" t="s">
        <v>28</v>
      </c>
    </row>
    <row r="97" spans="3:15" x14ac:dyDescent="0.3">
      <c r="C97" t="s">
        <v>599</v>
      </c>
      <c r="D97" t="s">
        <v>600</v>
      </c>
      <c r="E97" t="s">
        <v>601</v>
      </c>
      <c r="F97" t="s">
        <v>15</v>
      </c>
      <c r="G97" t="s">
        <v>101</v>
      </c>
      <c r="H97" s="5">
        <v>102515.81</v>
      </c>
      <c r="I97" t="s">
        <v>17</v>
      </c>
      <c r="J97" s="6">
        <v>43902</v>
      </c>
      <c r="K97">
        <v>1</v>
      </c>
      <c r="L97" t="s">
        <v>37</v>
      </c>
      <c r="M97" t="s">
        <v>84</v>
      </c>
      <c r="N97" s="9">
        <v>4.279452054794521</v>
      </c>
      <c r="O97" t="s">
        <v>20</v>
      </c>
    </row>
    <row r="98" spans="3:15" x14ac:dyDescent="0.3">
      <c r="C98" t="s">
        <v>141</v>
      </c>
      <c r="D98" t="s">
        <v>142</v>
      </c>
      <c r="E98" t="s">
        <v>143</v>
      </c>
      <c r="F98" t="s">
        <v>24</v>
      </c>
      <c r="G98" t="s">
        <v>58</v>
      </c>
      <c r="H98" s="5">
        <v>50449.46</v>
      </c>
      <c r="I98" t="s">
        <v>26</v>
      </c>
      <c r="J98" s="6">
        <v>43418</v>
      </c>
      <c r="K98">
        <v>0.8</v>
      </c>
      <c r="L98" t="s">
        <v>18</v>
      </c>
      <c r="M98" t="s">
        <v>77</v>
      </c>
      <c r="N98" s="9">
        <v>5.6054794520547944</v>
      </c>
      <c r="O98" t="s">
        <v>28</v>
      </c>
    </row>
    <row r="99" spans="3:15" x14ac:dyDescent="0.3">
      <c r="C99" t="s">
        <v>165</v>
      </c>
      <c r="D99" t="s">
        <v>166</v>
      </c>
      <c r="E99" t="s">
        <v>167</v>
      </c>
      <c r="F99" t="s">
        <v>24</v>
      </c>
      <c r="G99" t="s">
        <v>32</v>
      </c>
      <c r="H99" s="5">
        <v>31172.77</v>
      </c>
      <c r="I99" t="s">
        <v>65</v>
      </c>
      <c r="J99" s="6">
        <v>43665</v>
      </c>
      <c r="K99">
        <v>1</v>
      </c>
      <c r="L99" t="s">
        <v>37</v>
      </c>
      <c r="M99" t="s">
        <v>19</v>
      </c>
      <c r="N99" s="9">
        <v>4.9287671232876713</v>
      </c>
      <c r="O99" t="s">
        <v>20</v>
      </c>
    </row>
    <row r="100" spans="3:15" x14ac:dyDescent="0.3">
      <c r="C100" t="s">
        <v>545</v>
      </c>
      <c r="D100" t="s">
        <v>546</v>
      </c>
      <c r="E100" t="s">
        <v>547</v>
      </c>
      <c r="F100" t="s">
        <v>15</v>
      </c>
      <c r="G100" t="s">
        <v>16</v>
      </c>
      <c r="H100" s="5">
        <v>78443.78</v>
      </c>
      <c r="I100" t="s">
        <v>26</v>
      </c>
      <c r="J100" s="6">
        <v>43599</v>
      </c>
      <c r="K100">
        <v>1</v>
      </c>
      <c r="L100" t="s">
        <v>37</v>
      </c>
      <c r="M100" t="s">
        <v>41</v>
      </c>
      <c r="N100" s="9">
        <v>5.1095890410958908</v>
      </c>
      <c r="O100" t="s">
        <v>20</v>
      </c>
    </row>
    <row r="101" spans="3:15" x14ac:dyDescent="0.3">
      <c r="C101" t="s">
        <v>91</v>
      </c>
      <c r="D101" t="s">
        <v>92</v>
      </c>
      <c r="E101" t="s">
        <v>93</v>
      </c>
      <c r="F101" t="s">
        <v>15</v>
      </c>
      <c r="G101" t="s">
        <v>58</v>
      </c>
      <c r="H101" s="5">
        <v>52748.63</v>
      </c>
      <c r="I101" t="s">
        <v>26</v>
      </c>
      <c r="J101" s="6">
        <v>43857</v>
      </c>
      <c r="K101">
        <v>1</v>
      </c>
      <c r="L101" t="s">
        <v>18</v>
      </c>
      <c r="M101" t="s">
        <v>84</v>
      </c>
      <c r="N101" s="9">
        <v>4.4027397260273968</v>
      </c>
      <c r="O101" t="s">
        <v>20</v>
      </c>
    </row>
    <row r="102" spans="3:15" x14ac:dyDescent="0.3">
      <c r="C102" t="s">
        <v>189</v>
      </c>
      <c r="D102" t="s">
        <v>190</v>
      </c>
      <c r="E102" t="s">
        <v>191</v>
      </c>
      <c r="F102" t="s">
        <v>24</v>
      </c>
      <c r="G102" t="s">
        <v>36</v>
      </c>
      <c r="H102" s="5">
        <v>102934.09</v>
      </c>
      <c r="I102" t="s">
        <v>17</v>
      </c>
      <c r="J102" s="6">
        <v>44315</v>
      </c>
      <c r="K102">
        <v>1</v>
      </c>
      <c r="L102" t="s">
        <v>18</v>
      </c>
      <c r="M102" t="s">
        <v>41</v>
      </c>
      <c r="N102" s="9">
        <v>3.1479452054794521</v>
      </c>
      <c r="O102" t="s">
        <v>20</v>
      </c>
    </row>
    <row r="103" spans="3:15" x14ac:dyDescent="0.3">
      <c r="C103" t="s">
        <v>360</v>
      </c>
      <c r="D103" t="s">
        <v>361</v>
      </c>
      <c r="E103" t="s">
        <v>362</v>
      </c>
      <c r="F103" t="s">
        <v>24</v>
      </c>
      <c r="G103" t="s">
        <v>101</v>
      </c>
      <c r="H103" s="5">
        <v>68887.839999999997</v>
      </c>
      <c r="I103" t="s">
        <v>26</v>
      </c>
      <c r="J103" s="6">
        <v>43297</v>
      </c>
      <c r="K103">
        <v>1</v>
      </c>
      <c r="L103" t="s">
        <v>18</v>
      </c>
      <c r="M103" t="s">
        <v>19</v>
      </c>
      <c r="N103" s="9">
        <v>5.9369863013698634</v>
      </c>
      <c r="O103" t="s">
        <v>20</v>
      </c>
    </row>
    <row r="104" spans="3:15" x14ac:dyDescent="0.3">
      <c r="C104" t="s">
        <v>156</v>
      </c>
      <c r="D104" t="s">
        <v>157</v>
      </c>
      <c r="E104" t="s">
        <v>158</v>
      </c>
      <c r="F104" t="s">
        <v>24</v>
      </c>
      <c r="G104" t="s">
        <v>101</v>
      </c>
      <c r="H104" s="5">
        <v>69163.39</v>
      </c>
      <c r="I104" t="s">
        <v>26</v>
      </c>
      <c r="J104" s="6">
        <v>43397</v>
      </c>
      <c r="K104">
        <v>1</v>
      </c>
      <c r="L104" t="s">
        <v>18</v>
      </c>
      <c r="M104" t="s">
        <v>19</v>
      </c>
      <c r="N104" s="9">
        <v>5.6630136986301371</v>
      </c>
      <c r="O104" t="s">
        <v>20</v>
      </c>
    </row>
    <row r="105" spans="3:15" x14ac:dyDescent="0.3">
      <c r="C105" t="s">
        <v>156</v>
      </c>
      <c r="D105" t="s">
        <v>157</v>
      </c>
      <c r="E105" t="s">
        <v>158</v>
      </c>
      <c r="F105" t="s">
        <v>24</v>
      </c>
      <c r="G105" t="s">
        <v>101</v>
      </c>
      <c r="H105" s="5">
        <v>69163.39</v>
      </c>
      <c r="I105" t="s">
        <v>26</v>
      </c>
      <c r="J105" s="6">
        <v>43397</v>
      </c>
      <c r="K105">
        <v>1</v>
      </c>
      <c r="L105" t="s">
        <v>18</v>
      </c>
      <c r="M105" t="s">
        <v>19</v>
      </c>
      <c r="N105" s="9">
        <v>5.6630136986301371</v>
      </c>
      <c r="O105" t="s">
        <v>20</v>
      </c>
    </row>
    <row r="106" spans="3:15" x14ac:dyDescent="0.3">
      <c r="C106" t="s">
        <v>401</v>
      </c>
      <c r="D106" t="s">
        <v>402</v>
      </c>
      <c r="E106" t="s">
        <v>403</v>
      </c>
      <c r="F106" t="s">
        <v>15</v>
      </c>
      <c r="G106" t="s">
        <v>131</v>
      </c>
      <c r="H106" s="5">
        <v>99460.78</v>
      </c>
      <c r="I106" t="s">
        <v>26</v>
      </c>
      <c r="J106" s="6">
        <v>43956</v>
      </c>
      <c r="K106">
        <v>1</v>
      </c>
      <c r="L106" t="s">
        <v>18</v>
      </c>
      <c r="M106" t="s">
        <v>19</v>
      </c>
      <c r="N106" s="9">
        <v>4.1315068493150688</v>
      </c>
      <c r="O106" t="s">
        <v>20</v>
      </c>
    </row>
    <row r="107" spans="3:15" x14ac:dyDescent="0.3">
      <c r="C107" t="s">
        <v>377</v>
      </c>
      <c r="D107" t="s">
        <v>378</v>
      </c>
      <c r="E107" t="s">
        <v>379</v>
      </c>
      <c r="F107" t="s">
        <v>15</v>
      </c>
      <c r="G107" t="s">
        <v>25</v>
      </c>
      <c r="H107" s="5">
        <v>39784.239999999998</v>
      </c>
      <c r="I107" t="s">
        <v>65</v>
      </c>
      <c r="J107" s="6">
        <v>43465</v>
      </c>
      <c r="K107">
        <v>1</v>
      </c>
      <c r="L107" t="s">
        <v>37</v>
      </c>
      <c r="M107" t="s">
        <v>84</v>
      </c>
      <c r="N107" s="9">
        <v>5.4767123287671229</v>
      </c>
      <c r="O107" t="s">
        <v>20</v>
      </c>
    </row>
    <row r="108" spans="3:15" x14ac:dyDescent="0.3">
      <c r="C108" t="s">
        <v>682</v>
      </c>
      <c r="D108" t="s">
        <v>683</v>
      </c>
      <c r="E108" t="s">
        <v>684</v>
      </c>
      <c r="F108" t="s">
        <v>24</v>
      </c>
      <c r="G108" t="s">
        <v>16</v>
      </c>
      <c r="H108" s="5">
        <v>114772.32</v>
      </c>
      <c r="I108" t="s">
        <v>17</v>
      </c>
      <c r="J108" s="6">
        <v>44251</v>
      </c>
      <c r="K108">
        <v>1</v>
      </c>
      <c r="L108" t="s">
        <v>18</v>
      </c>
      <c r="M108" t="s">
        <v>72</v>
      </c>
      <c r="N108" s="9">
        <v>3.3232876712328765</v>
      </c>
      <c r="O108" t="s">
        <v>20</v>
      </c>
    </row>
    <row r="109" spans="3:15" x14ac:dyDescent="0.3">
      <c r="C109" t="s">
        <v>677</v>
      </c>
      <c r="D109" t="s">
        <v>678</v>
      </c>
      <c r="E109" t="s">
        <v>679</v>
      </c>
      <c r="F109" t="s">
        <v>15</v>
      </c>
      <c r="G109" t="s">
        <v>97</v>
      </c>
      <c r="H109" s="5">
        <v>65569.36</v>
      </c>
      <c r="I109" t="s">
        <v>26</v>
      </c>
      <c r="J109" s="6">
        <v>43293</v>
      </c>
      <c r="K109">
        <v>1</v>
      </c>
      <c r="L109" t="s">
        <v>37</v>
      </c>
      <c r="M109" t="s">
        <v>77</v>
      </c>
      <c r="N109" s="9">
        <v>5.9479452054794519</v>
      </c>
      <c r="O109" t="s">
        <v>20</v>
      </c>
    </row>
    <row r="110" spans="3:15" x14ac:dyDescent="0.3">
      <c r="C110" t="s">
        <v>81</v>
      </c>
      <c r="D110" t="s">
        <v>437</v>
      </c>
      <c r="E110" t="s">
        <v>438</v>
      </c>
      <c r="F110" t="s">
        <v>24</v>
      </c>
      <c r="G110" t="s">
        <v>36</v>
      </c>
      <c r="H110" s="5">
        <v>37902.35</v>
      </c>
      <c r="I110" t="s">
        <v>65</v>
      </c>
      <c r="J110" s="6">
        <v>43823</v>
      </c>
      <c r="K110">
        <v>1</v>
      </c>
      <c r="L110" t="s">
        <v>18</v>
      </c>
      <c r="M110" t="s">
        <v>84</v>
      </c>
      <c r="N110" s="9">
        <v>4.4958904109589044</v>
      </c>
      <c r="O110" t="s">
        <v>20</v>
      </c>
    </row>
    <row r="111" spans="3:15" x14ac:dyDescent="0.3">
      <c r="C111" t="s">
        <v>593</v>
      </c>
      <c r="D111" t="s">
        <v>594</v>
      </c>
      <c r="E111" t="s">
        <v>595</v>
      </c>
      <c r="F111" t="s">
        <v>24</v>
      </c>
      <c r="G111" t="s">
        <v>32</v>
      </c>
      <c r="H111" s="5">
        <v>28305.08</v>
      </c>
      <c r="I111" t="s">
        <v>65</v>
      </c>
      <c r="J111" s="6">
        <v>43754</v>
      </c>
      <c r="K111">
        <v>1</v>
      </c>
      <c r="L111" t="s">
        <v>18</v>
      </c>
      <c r="M111" t="s">
        <v>19</v>
      </c>
      <c r="N111" s="9">
        <v>4.6849315068493151</v>
      </c>
      <c r="O111" t="s">
        <v>20</v>
      </c>
    </row>
    <row r="112" spans="3:15" x14ac:dyDescent="0.3">
      <c r="C112" t="s">
        <v>542</v>
      </c>
      <c r="D112" t="s">
        <v>543</v>
      </c>
      <c r="E112" t="s">
        <v>544</v>
      </c>
      <c r="F112" t="s">
        <v>24</v>
      </c>
      <c r="G112" t="s">
        <v>97</v>
      </c>
      <c r="H112" s="5">
        <v>92704.48</v>
      </c>
      <c r="I112" t="s">
        <v>26</v>
      </c>
      <c r="J112" s="6">
        <v>43430</v>
      </c>
      <c r="K112">
        <v>1</v>
      </c>
      <c r="L112" t="s">
        <v>37</v>
      </c>
      <c r="M112" t="s">
        <v>72</v>
      </c>
      <c r="N112" s="9">
        <v>5.5726027397260278</v>
      </c>
      <c r="O112" t="s">
        <v>20</v>
      </c>
    </row>
    <row r="113" spans="3:15" x14ac:dyDescent="0.3">
      <c r="C113" t="s">
        <v>504</v>
      </c>
      <c r="D113" t="s">
        <v>505</v>
      </c>
      <c r="E113" t="s">
        <v>506</v>
      </c>
      <c r="F113" t="s">
        <v>24</v>
      </c>
      <c r="G113" t="s">
        <v>101</v>
      </c>
      <c r="H113" s="5">
        <v>114177.23</v>
      </c>
      <c r="I113" t="s">
        <v>17</v>
      </c>
      <c r="J113" s="6">
        <v>43908</v>
      </c>
      <c r="K113">
        <v>1</v>
      </c>
      <c r="L113" t="s">
        <v>18</v>
      </c>
      <c r="M113" t="s">
        <v>45</v>
      </c>
      <c r="N113" s="9">
        <v>4.2630136986301368</v>
      </c>
      <c r="O113" t="s">
        <v>20</v>
      </c>
    </row>
    <row r="114" spans="3:15" x14ac:dyDescent="0.3">
      <c r="C114" t="s">
        <v>732</v>
      </c>
      <c r="D114" t="s">
        <v>733</v>
      </c>
      <c r="E114" t="s">
        <v>734</v>
      </c>
      <c r="F114" t="s">
        <v>24</v>
      </c>
      <c r="G114" t="s">
        <v>131</v>
      </c>
      <c r="H114" s="5">
        <v>31089.22</v>
      </c>
      <c r="I114" t="s">
        <v>65</v>
      </c>
      <c r="J114" s="6">
        <v>43776</v>
      </c>
      <c r="K114">
        <v>1</v>
      </c>
      <c r="L114" t="s">
        <v>37</v>
      </c>
      <c r="M114" t="s">
        <v>84</v>
      </c>
      <c r="N114" s="9">
        <v>4.624657534246575</v>
      </c>
      <c r="O114" t="s">
        <v>20</v>
      </c>
    </row>
    <row r="115" spans="3:15" x14ac:dyDescent="0.3">
      <c r="C115" t="s">
        <v>645</v>
      </c>
      <c r="D115" t="s">
        <v>646</v>
      </c>
      <c r="E115" t="s">
        <v>647</v>
      </c>
      <c r="F115" t="s">
        <v>24</v>
      </c>
      <c r="G115" t="s">
        <v>54</v>
      </c>
      <c r="H115" s="5">
        <v>67905.8</v>
      </c>
      <c r="I115" t="s">
        <v>26</v>
      </c>
      <c r="J115" s="6">
        <v>44194</v>
      </c>
      <c r="K115">
        <v>1</v>
      </c>
      <c r="L115" t="s">
        <v>18</v>
      </c>
      <c r="M115" t="s">
        <v>19</v>
      </c>
      <c r="N115" s="9">
        <v>3.4794520547945207</v>
      </c>
      <c r="O115" t="s">
        <v>20</v>
      </c>
    </row>
    <row r="116" spans="3:15" x14ac:dyDescent="0.3">
      <c r="C116" t="s">
        <v>657</v>
      </c>
      <c r="D116" t="s">
        <v>658</v>
      </c>
      <c r="E116" t="s">
        <v>659</v>
      </c>
      <c r="F116" t="s">
        <v>24</v>
      </c>
      <c r="G116" t="s">
        <v>131</v>
      </c>
      <c r="H116" s="5">
        <v>61213.01</v>
      </c>
      <c r="I116" t="s">
        <v>26</v>
      </c>
      <c r="J116" s="6">
        <v>44365</v>
      </c>
      <c r="K116">
        <v>1</v>
      </c>
      <c r="L116" t="s">
        <v>18</v>
      </c>
      <c r="M116" t="s">
        <v>84</v>
      </c>
      <c r="N116" s="9">
        <v>3.010958904109589</v>
      </c>
      <c r="O116" t="s">
        <v>20</v>
      </c>
    </row>
    <row r="117" spans="3:15" x14ac:dyDescent="0.3">
      <c r="C117" t="s">
        <v>487</v>
      </c>
      <c r="D117" t="s">
        <v>488</v>
      </c>
      <c r="E117" t="s">
        <v>489</v>
      </c>
      <c r="F117" t="s">
        <v>24</v>
      </c>
      <c r="G117" t="s">
        <v>16</v>
      </c>
      <c r="H117" s="5">
        <v>88425.08</v>
      </c>
      <c r="I117" t="s">
        <v>26</v>
      </c>
      <c r="J117" s="6">
        <v>43662</v>
      </c>
      <c r="K117">
        <v>1</v>
      </c>
      <c r="L117" t="s">
        <v>18</v>
      </c>
      <c r="M117" t="s">
        <v>41</v>
      </c>
      <c r="N117" s="9">
        <v>4.9369863013698634</v>
      </c>
      <c r="O117" t="s">
        <v>20</v>
      </c>
    </row>
    <row r="118" spans="3:15" x14ac:dyDescent="0.3">
      <c r="C118" t="s">
        <v>234</v>
      </c>
      <c r="D118" t="s">
        <v>235</v>
      </c>
      <c r="E118" t="s">
        <v>236</v>
      </c>
      <c r="F118" t="s">
        <v>24</v>
      </c>
      <c r="G118" t="s">
        <v>32</v>
      </c>
      <c r="H118" s="5">
        <v>69057.320000000007</v>
      </c>
      <c r="I118" t="s">
        <v>26</v>
      </c>
      <c r="J118" s="6">
        <v>43390</v>
      </c>
      <c r="K118">
        <v>1</v>
      </c>
      <c r="L118" t="s">
        <v>18</v>
      </c>
      <c r="M118" t="s">
        <v>45</v>
      </c>
      <c r="N118" s="9">
        <v>5.6821917808219178</v>
      </c>
      <c r="O118" t="s">
        <v>20</v>
      </c>
    </row>
    <row r="119" spans="3:15" x14ac:dyDescent="0.3">
      <c r="C119" t="s">
        <v>234</v>
      </c>
      <c r="D119" t="s">
        <v>235</v>
      </c>
      <c r="E119" t="s">
        <v>236</v>
      </c>
      <c r="F119" t="s">
        <v>24</v>
      </c>
      <c r="G119" t="s">
        <v>32</v>
      </c>
      <c r="H119" s="5">
        <v>69057.320000000007</v>
      </c>
      <c r="I119" t="s">
        <v>26</v>
      </c>
      <c r="J119" s="6">
        <v>43390</v>
      </c>
      <c r="K119">
        <v>1</v>
      </c>
      <c r="L119" t="s">
        <v>18</v>
      </c>
      <c r="M119" t="s">
        <v>45</v>
      </c>
      <c r="N119" s="9">
        <v>5.6821917808219178</v>
      </c>
      <c r="O119" t="s">
        <v>20</v>
      </c>
    </row>
    <row r="120" spans="3:15" x14ac:dyDescent="0.3">
      <c r="C120" t="s">
        <v>291</v>
      </c>
      <c r="D120" t="s">
        <v>292</v>
      </c>
      <c r="E120" t="s">
        <v>293</v>
      </c>
      <c r="F120" t="s">
        <v>24</v>
      </c>
      <c r="G120" t="s">
        <v>58</v>
      </c>
      <c r="H120" s="5">
        <v>84309.95</v>
      </c>
      <c r="I120" t="s">
        <v>26</v>
      </c>
      <c r="J120" s="6">
        <v>44501</v>
      </c>
      <c r="K120">
        <v>1</v>
      </c>
      <c r="L120" t="s">
        <v>18</v>
      </c>
      <c r="M120" t="s">
        <v>19</v>
      </c>
      <c r="N120" s="9">
        <v>2.6383561643835618</v>
      </c>
      <c r="O120" t="s">
        <v>20</v>
      </c>
    </row>
    <row r="121" spans="3:15" x14ac:dyDescent="0.3">
      <c r="C121" t="s">
        <v>533</v>
      </c>
      <c r="D121" t="s">
        <v>534</v>
      </c>
      <c r="E121" t="s">
        <v>535</v>
      </c>
      <c r="F121" t="s">
        <v>24</v>
      </c>
      <c r="G121" t="s">
        <v>16</v>
      </c>
      <c r="H121" s="5">
        <v>58861.19</v>
      </c>
      <c r="I121" t="s">
        <v>26</v>
      </c>
      <c r="J121" s="6">
        <v>43654</v>
      </c>
      <c r="K121">
        <v>1</v>
      </c>
      <c r="L121" t="s">
        <v>18</v>
      </c>
      <c r="M121" t="s">
        <v>72</v>
      </c>
      <c r="N121" s="9">
        <v>4.9589041095890414</v>
      </c>
      <c r="O121" t="s">
        <v>20</v>
      </c>
    </row>
    <row r="122" spans="3:15" x14ac:dyDescent="0.3">
      <c r="C122" t="s">
        <v>216</v>
      </c>
      <c r="D122" t="s">
        <v>217</v>
      </c>
      <c r="E122" t="s">
        <v>218</v>
      </c>
      <c r="F122" t="s">
        <v>15</v>
      </c>
      <c r="G122" t="s">
        <v>54</v>
      </c>
      <c r="H122" s="5">
        <v>37362.300000000003</v>
      </c>
      <c r="I122" t="s">
        <v>65</v>
      </c>
      <c r="J122" s="6">
        <v>43642</v>
      </c>
      <c r="K122">
        <v>1</v>
      </c>
      <c r="L122" t="s">
        <v>18</v>
      </c>
      <c r="M122" t="s">
        <v>77</v>
      </c>
      <c r="N122" s="9">
        <v>4.9917808219178079</v>
      </c>
      <c r="O122" t="s">
        <v>20</v>
      </c>
    </row>
    <row r="123" spans="3:15" x14ac:dyDescent="0.3">
      <c r="C123" t="s">
        <v>642</v>
      </c>
      <c r="D123" t="s">
        <v>643</v>
      </c>
      <c r="E123" t="s">
        <v>644</v>
      </c>
      <c r="F123" t="s">
        <v>15</v>
      </c>
      <c r="G123" t="s">
        <v>50</v>
      </c>
      <c r="H123" s="5">
        <v>36714.379999999997</v>
      </c>
      <c r="I123" t="s">
        <v>65</v>
      </c>
      <c r="J123" s="6">
        <v>44175</v>
      </c>
      <c r="K123">
        <v>1</v>
      </c>
      <c r="L123" t="s">
        <v>18</v>
      </c>
      <c r="M123" t="s">
        <v>84</v>
      </c>
      <c r="N123" s="9">
        <v>3.5315068493150683</v>
      </c>
      <c r="O123" t="s">
        <v>20</v>
      </c>
    </row>
    <row r="124" spans="3:15" x14ac:dyDescent="0.3">
      <c r="C124" t="s">
        <v>207</v>
      </c>
      <c r="D124" t="s">
        <v>208</v>
      </c>
      <c r="E124" t="s">
        <v>209</v>
      </c>
      <c r="F124" t="s">
        <v>24</v>
      </c>
      <c r="G124" t="s">
        <v>58</v>
      </c>
      <c r="H124" s="5">
        <v>39700.82</v>
      </c>
      <c r="I124" t="s">
        <v>65</v>
      </c>
      <c r="J124" s="6">
        <v>44203</v>
      </c>
      <c r="K124">
        <v>0.8</v>
      </c>
      <c r="L124" t="s">
        <v>18</v>
      </c>
      <c r="M124" t="s">
        <v>84</v>
      </c>
      <c r="N124" s="9">
        <v>3.4547945205479453</v>
      </c>
      <c r="O124" t="s">
        <v>28</v>
      </c>
    </row>
    <row r="125" spans="3:15" x14ac:dyDescent="0.3">
      <c r="C125" t="s">
        <v>666</v>
      </c>
      <c r="D125" t="s">
        <v>667</v>
      </c>
      <c r="E125" t="s">
        <v>668</v>
      </c>
      <c r="F125" t="s">
        <v>15</v>
      </c>
      <c r="G125" t="s">
        <v>32</v>
      </c>
      <c r="H125" s="5">
        <v>77096.05</v>
      </c>
      <c r="I125" t="s">
        <v>26</v>
      </c>
      <c r="J125" s="6">
        <v>43217</v>
      </c>
      <c r="K125">
        <v>1</v>
      </c>
      <c r="L125" t="s">
        <v>18</v>
      </c>
      <c r="M125" t="s">
        <v>84</v>
      </c>
      <c r="N125" s="9">
        <v>6.1561643835616442</v>
      </c>
      <c r="O125" t="s">
        <v>20</v>
      </c>
    </row>
    <row r="126" spans="3:15" x14ac:dyDescent="0.3">
      <c r="C126" t="s">
        <v>389</v>
      </c>
      <c r="D126" t="s">
        <v>390</v>
      </c>
      <c r="E126" t="s">
        <v>391</v>
      </c>
      <c r="F126" t="s">
        <v>15</v>
      </c>
      <c r="G126" t="s">
        <v>101</v>
      </c>
      <c r="H126" s="5">
        <v>36547.58</v>
      </c>
      <c r="I126" t="s">
        <v>65</v>
      </c>
      <c r="J126" s="6">
        <v>43416</v>
      </c>
      <c r="K126">
        <v>1</v>
      </c>
      <c r="L126" t="s">
        <v>18</v>
      </c>
      <c r="M126" t="s">
        <v>19</v>
      </c>
      <c r="N126" s="9">
        <v>5.6109589041095891</v>
      </c>
      <c r="O126" t="s">
        <v>20</v>
      </c>
    </row>
    <row r="127" spans="3:15" x14ac:dyDescent="0.3">
      <c r="C127" t="s">
        <v>389</v>
      </c>
      <c r="D127" t="s">
        <v>390</v>
      </c>
      <c r="E127" t="s">
        <v>391</v>
      </c>
      <c r="F127" t="s">
        <v>15</v>
      </c>
      <c r="G127" t="s">
        <v>101</v>
      </c>
      <c r="H127" s="5">
        <v>36547.58</v>
      </c>
      <c r="I127" t="s">
        <v>65</v>
      </c>
      <c r="J127" s="6">
        <v>43416</v>
      </c>
      <c r="K127">
        <v>1</v>
      </c>
      <c r="L127" t="s">
        <v>18</v>
      </c>
      <c r="M127" t="s">
        <v>19</v>
      </c>
      <c r="N127" s="9">
        <v>5.6109589041095891</v>
      </c>
      <c r="O127" t="s">
        <v>20</v>
      </c>
    </row>
    <row r="128" spans="3:15" x14ac:dyDescent="0.3">
      <c r="C128" t="s">
        <v>303</v>
      </c>
      <c r="D128" t="s">
        <v>304</v>
      </c>
      <c r="E128" t="s">
        <v>305</v>
      </c>
      <c r="F128" t="s">
        <v>24</v>
      </c>
      <c r="G128" t="s">
        <v>58</v>
      </c>
      <c r="H128" s="5">
        <v>99683.67</v>
      </c>
      <c r="I128" t="s">
        <v>26</v>
      </c>
      <c r="J128" s="6">
        <v>43500</v>
      </c>
      <c r="K128">
        <v>1</v>
      </c>
      <c r="L128" t="s">
        <v>37</v>
      </c>
      <c r="M128" t="s">
        <v>27</v>
      </c>
      <c r="N128" s="9">
        <v>5.3808219178082188</v>
      </c>
      <c r="O128" t="s">
        <v>20</v>
      </c>
    </row>
    <row r="129" spans="3:15" x14ac:dyDescent="0.3">
      <c r="C129" t="s">
        <v>303</v>
      </c>
      <c r="D129" t="s">
        <v>304</v>
      </c>
      <c r="E129" t="s">
        <v>305</v>
      </c>
      <c r="F129" t="s">
        <v>24</v>
      </c>
      <c r="G129" t="s">
        <v>58</v>
      </c>
      <c r="H129" s="5">
        <v>99683.67</v>
      </c>
      <c r="I129" t="s">
        <v>26</v>
      </c>
      <c r="J129" s="6">
        <v>43500</v>
      </c>
      <c r="K129">
        <v>1</v>
      </c>
      <c r="L129" t="s">
        <v>37</v>
      </c>
      <c r="M129" t="s">
        <v>27</v>
      </c>
      <c r="N129" s="9">
        <v>5.3808219178082188</v>
      </c>
      <c r="O129" t="s">
        <v>20</v>
      </c>
    </row>
    <row r="130" spans="3:15" x14ac:dyDescent="0.3">
      <c r="C130" t="s">
        <v>639</v>
      </c>
      <c r="D130" t="s">
        <v>640</v>
      </c>
      <c r="E130" t="s">
        <v>641</v>
      </c>
      <c r="F130" t="s">
        <v>24</v>
      </c>
      <c r="G130" t="s">
        <v>16</v>
      </c>
      <c r="H130" s="5">
        <v>94815.28</v>
      </c>
      <c r="I130" t="s">
        <v>26</v>
      </c>
      <c r="J130" s="6">
        <v>43440</v>
      </c>
      <c r="K130">
        <v>1</v>
      </c>
      <c r="L130" t="s">
        <v>18</v>
      </c>
      <c r="M130" t="s">
        <v>27</v>
      </c>
      <c r="N130" s="9">
        <v>5.5452054794520551</v>
      </c>
      <c r="O130" t="s">
        <v>20</v>
      </c>
    </row>
    <row r="131" spans="3:15" x14ac:dyDescent="0.3">
      <c r="C131" t="s">
        <v>51</v>
      </c>
      <c r="D131" t="s">
        <v>52</v>
      </c>
      <c r="E131" t="s">
        <v>53</v>
      </c>
      <c r="F131" t="s">
        <v>24</v>
      </c>
      <c r="G131" t="s">
        <v>54</v>
      </c>
      <c r="H131" s="5">
        <v>66017.179999999993</v>
      </c>
      <c r="I131" t="s">
        <v>26</v>
      </c>
      <c r="J131" s="6">
        <v>43643</v>
      </c>
      <c r="K131">
        <v>0.9</v>
      </c>
      <c r="L131" t="s">
        <v>18</v>
      </c>
      <c r="M131" t="s">
        <v>19</v>
      </c>
      <c r="N131" s="9">
        <v>4.9890410958904106</v>
      </c>
      <c r="O131" t="s">
        <v>28</v>
      </c>
    </row>
    <row r="132" spans="3:15" x14ac:dyDescent="0.3">
      <c r="C132" t="s">
        <v>98</v>
      </c>
      <c r="D132" t="s">
        <v>99</v>
      </c>
      <c r="E132" t="s">
        <v>100</v>
      </c>
      <c r="F132" t="s">
        <v>15</v>
      </c>
      <c r="G132" t="s">
        <v>101</v>
      </c>
      <c r="H132" s="5">
        <v>52963.65</v>
      </c>
      <c r="I132" t="s">
        <v>26</v>
      </c>
      <c r="J132" s="6">
        <v>44288</v>
      </c>
      <c r="K132">
        <v>0.3</v>
      </c>
      <c r="L132" t="s">
        <v>18</v>
      </c>
      <c r="M132" t="s">
        <v>72</v>
      </c>
      <c r="N132" s="9">
        <v>3.2219178082191782</v>
      </c>
      <c r="O132" t="s">
        <v>28</v>
      </c>
    </row>
    <row r="133" spans="3:15" x14ac:dyDescent="0.3">
      <c r="C133" t="s">
        <v>192</v>
      </c>
      <c r="D133" t="s">
        <v>193</v>
      </c>
      <c r="E133" t="s">
        <v>194</v>
      </c>
      <c r="F133" t="s">
        <v>15</v>
      </c>
      <c r="G133" t="s">
        <v>105</v>
      </c>
      <c r="H133" s="5">
        <v>68860.399999999994</v>
      </c>
      <c r="I133" t="s">
        <v>26</v>
      </c>
      <c r="J133" s="6">
        <v>43508</v>
      </c>
      <c r="K133">
        <v>0.4</v>
      </c>
      <c r="L133" t="s">
        <v>18</v>
      </c>
      <c r="M133" t="s">
        <v>72</v>
      </c>
      <c r="N133" s="9">
        <v>5.3589041095890408</v>
      </c>
      <c r="O133" t="s">
        <v>28</v>
      </c>
    </row>
    <row r="134" spans="3:15" x14ac:dyDescent="0.3">
      <c r="C134" t="s">
        <v>231</v>
      </c>
      <c r="D134" t="s">
        <v>232</v>
      </c>
      <c r="E134" t="s">
        <v>233</v>
      </c>
      <c r="F134" t="s">
        <v>24</v>
      </c>
      <c r="G134" t="s">
        <v>105</v>
      </c>
      <c r="H134" s="5">
        <v>84762.76</v>
      </c>
      <c r="I134" t="s">
        <v>26</v>
      </c>
      <c r="J134" s="6">
        <v>43332</v>
      </c>
      <c r="K134">
        <v>1</v>
      </c>
      <c r="L134" t="s">
        <v>18</v>
      </c>
      <c r="M134" t="s">
        <v>41</v>
      </c>
      <c r="N134" s="9">
        <v>5.8410958904109593</v>
      </c>
      <c r="O134" t="s">
        <v>20</v>
      </c>
    </row>
    <row r="135" spans="3:15" x14ac:dyDescent="0.3">
      <c r="C135" t="s">
        <v>612</v>
      </c>
      <c r="D135" t="s">
        <v>613</v>
      </c>
      <c r="E135" t="s">
        <v>614</v>
      </c>
      <c r="F135" t="s">
        <v>24</v>
      </c>
      <c r="G135" t="s">
        <v>124</v>
      </c>
      <c r="H135" s="5">
        <v>68197.899999999994</v>
      </c>
      <c r="I135" t="s">
        <v>26</v>
      </c>
      <c r="J135" s="6">
        <v>44119</v>
      </c>
      <c r="K135">
        <v>1</v>
      </c>
      <c r="L135" t="s">
        <v>18</v>
      </c>
      <c r="M135" t="s">
        <v>77</v>
      </c>
      <c r="N135" s="9">
        <v>3.6849315068493151</v>
      </c>
      <c r="O135" t="s">
        <v>20</v>
      </c>
    </row>
    <row r="136" spans="3:15" x14ac:dyDescent="0.3">
      <c r="C136" t="s">
        <v>688</v>
      </c>
      <c r="D136" t="s">
        <v>689</v>
      </c>
      <c r="E136" t="s">
        <v>690</v>
      </c>
      <c r="F136" t="s">
        <v>24</v>
      </c>
      <c r="G136" t="s">
        <v>124</v>
      </c>
      <c r="H136" s="5">
        <v>51798.25</v>
      </c>
      <c r="I136" t="s">
        <v>26</v>
      </c>
      <c r="J136" s="6">
        <v>43665</v>
      </c>
      <c r="K136">
        <v>1</v>
      </c>
      <c r="L136" t="s">
        <v>18</v>
      </c>
      <c r="M136" t="s">
        <v>41</v>
      </c>
      <c r="N136" s="9">
        <v>4.9287671232876713</v>
      </c>
      <c r="O136" t="s">
        <v>20</v>
      </c>
    </row>
    <row r="137" spans="3:15" x14ac:dyDescent="0.3">
      <c r="C137" t="s">
        <v>481</v>
      </c>
      <c r="D137" t="s">
        <v>482</v>
      </c>
      <c r="E137" t="s">
        <v>483</v>
      </c>
      <c r="F137" t="s">
        <v>15</v>
      </c>
      <c r="G137" t="s">
        <v>16</v>
      </c>
      <c r="H137" s="5">
        <v>36536.26</v>
      </c>
      <c r="I137" t="s">
        <v>65</v>
      </c>
      <c r="J137" s="6">
        <v>44358</v>
      </c>
      <c r="K137">
        <v>1</v>
      </c>
      <c r="L137" t="s">
        <v>76</v>
      </c>
      <c r="M137" t="s">
        <v>41</v>
      </c>
      <c r="N137" s="9">
        <v>3.0301369863013701</v>
      </c>
      <c r="O137" t="s">
        <v>20</v>
      </c>
    </row>
    <row r="138" spans="3:15" x14ac:dyDescent="0.3">
      <c r="C138" t="s">
        <v>669</v>
      </c>
      <c r="D138" t="s">
        <v>670</v>
      </c>
      <c r="E138" t="s">
        <v>671</v>
      </c>
      <c r="F138" t="s">
        <v>15</v>
      </c>
      <c r="G138" t="s">
        <v>124</v>
      </c>
      <c r="H138" s="5">
        <v>77743.149999999994</v>
      </c>
      <c r="I138" t="s">
        <v>26</v>
      </c>
      <c r="J138" s="6">
        <v>43920</v>
      </c>
      <c r="K138">
        <v>1</v>
      </c>
      <c r="L138" t="s">
        <v>18</v>
      </c>
      <c r="M138" t="s">
        <v>84</v>
      </c>
      <c r="N138" s="9">
        <v>4.2301369863013702</v>
      </c>
      <c r="O138" t="s">
        <v>20</v>
      </c>
    </row>
    <row r="139" spans="3:15" x14ac:dyDescent="0.3">
      <c r="C139" t="s">
        <v>210</v>
      </c>
      <c r="D139" t="s">
        <v>490</v>
      </c>
      <c r="E139" t="s">
        <v>491</v>
      </c>
      <c r="F139" t="s">
        <v>24</v>
      </c>
      <c r="G139" t="s">
        <v>124</v>
      </c>
      <c r="H139" s="5">
        <v>38438.239999999998</v>
      </c>
      <c r="I139" t="s">
        <v>65</v>
      </c>
      <c r="J139" s="6">
        <v>43962</v>
      </c>
      <c r="K139">
        <v>1</v>
      </c>
      <c r="L139" t="s">
        <v>18</v>
      </c>
      <c r="M139" t="s">
        <v>84</v>
      </c>
      <c r="N139" s="9">
        <v>4.1150684931506847</v>
      </c>
      <c r="O139" t="s">
        <v>20</v>
      </c>
    </row>
    <row r="140" spans="3:15" x14ac:dyDescent="0.3">
      <c r="C140" t="s">
        <v>258</v>
      </c>
      <c r="D140" t="s">
        <v>259</v>
      </c>
      <c r="E140" t="s">
        <v>260</v>
      </c>
      <c r="F140" t="s">
        <v>15</v>
      </c>
      <c r="G140" t="s">
        <v>54</v>
      </c>
      <c r="H140" s="5">
        <v>65699.02</v>
      </c>
      <c r="I140" t="s">
        <v>26</v>
      </c>
      <c r="J140" s="6">
        <v>43951</v>
      </c>
      <c r="K140">
        <v>1</v>
      </c>
      <c r="L140" t="s">
        <v>18</v>
      </c>
      <c r="M140" t="s">
        <v>72</v>
      </c>
      <c r="N140" s="9">
        <v>4.1452054794520548</v>
      </c>
      <c r="O140" t="s">
        <v>20</v>
      </c>
    </row>
    <row r="141" spans="3:15" x14ac:dyDescent="0.3">
      <c r="C141" t="s">
        <v>386</v>
      </c>
      <c r="D141" t="s">
        <v>387</v>
      </c>
      <c r="E141" t="s">
        <v>388</v>
      </c>
      <c r="F141" t="s">
        <v>15</v>
      </c>
      <c r="G141" t="s">
        <v>25</v>
      </c>
      <c r="H141" s="5">
        <v>88511.17</v>
      </c>
      <c r="I141" t="s">
        <v>26</v>
      </c>
      <c r="J141" s="6">
        <v>43950</v>
      </c>
      <c r="K141">
        <v>1</v>
      </c>
      <c r="L141" t="s">
        <v>18</v>
      </c>
      <c r="M141" t="s">
        <v>72</v>
      </c>
      <c r="N141" s="9">
        <v>4.1479452054794521</v>
      </c>
      <c r="O141" t="s">
        <v>20</v>
      </c>
    </row>
    <row r="142" spans="3:15" x14ac:dyDescent="0.3">
      <c r="C142" t="s">
        <v>513</v>
      </c>
      <c r="D142" t="s">
        <v>514</v>
      </c>
      <c r="E142" t="s">
        <v>515</v>
      </c>
      <c r="F142" t="s">
        <v>15</v>
      </c>
      <c r="G142" t="s">
        <v>101</v>
      </c>
      <c r="H142" s="5">
        <v>52270.22</v>
      </c>
      <c r="I142" t="s">
        <v>26</v>
      </c>
      <c r="J142" s="6">
        <v>43521</v>
      </c>
      <c r="K142">
        <v>0.3</v>
      </c>
      <c r="L142" t="s">
        <v>18</v>
      </c>
      <c r="M142" t="s">
        <v>84</v>
      </c>
      <c r="N142" s="9">
        <v>5.3232876712328769</v>
      </c>
      <c r="O142" t="s">
        <v>28</v>
      </c>
    </row>
    <row r="143" spans="3:15" x14ac:dyDescent="0.3">
      <c r="C143" t="s">
        <v>685</v>
      </c>
      <c r="D143" t="s">
        <v>686</v>
      </c>
      <c r="E143" t="s">
        <v>687</v>
      </c>
      <c r="F143" t="s">
        <v>24</v>
      </c>
      <c r="G143" t="s">
        <v>36</v>
      </c>
      <c r="H143" s="5">
        <v>56253.81</v>
      </c>
      <c r="I143" t="s">
        <v>26</v>
      </c>
      <c r="J143" s="6">
        <v>44421</v>
      </c>
      <c r="K143">
        <v>1</v>
      </c>
      <c r="L143" t="s">
        <v>18</v>
      </c>
      <c r="M143" t="s">
        <v>77</v>
      </c>
      <c r="N143" s="9">
        <v>2.8575342465753426</v>
      </c>
      <c r="O143" t="s">
        <v>20</v>
      </c>
    </row>
    <row r="144" spans="3:15" x14ac:dyDescent="0.3">
      <c r="C144" t="s">
        <v>715</v>
      </c>
      <c r="D144" t="s">
        <v>716</v>
      </c>
      <c r="E144" t="s">
        <v>717</v>
      </c>
      <c r="F144" t="s">
        <v>15</v>
      </c>
      <c r="G144" t="s">
        <v>50</v>
      </c>
      <c r="H144" s="5">
        <v>30077.45</v>
      </c>
      <c r="I144" t="s">
        <v>65</v>
      </c>
      <c r="J144" s="6">
        <v>43474</v>
      </c>
      <c r="K144">
        <v>1</v>
      </c>
      <c r="L144" t="s">
        <v>18</v>
      </c>
      <c r="M144" t="s">
        <v>45</v>
      </c>
      <c r="N144" s="9">
        <v>5.4520547945205475</v>
      </c>
      <c r="O144" t="s">
        <v>20</v>
      </c>
    </row>
    <row r="145" spans="3:15" x14ac:dyDescent="0.3">
      <c r="C145" t="s">
        <v>395</v>
      </c>
      <c r="D145" t="s">
        <v>396</v>
      </c>
      <c r="E145" t="s">
        <v>397</v>
      </c>
      <c r="F145" t="s">
        <v>24</v>
      </c>
      <c r="G145" t="s">
        <v>36</v>
      </c>
      <c r="H145" s="5">
        <v>95677.9</v>
      </c>
      <c r="I145" t="s">
        <v>26</v>
      </c>
      <c r="J145" s="6">
        <v>44396</v>
      </c>
      <c r="K145">
        <v>0.3</v>
      </c>
      <c r="L145" t="s">
        <v>18</v>
      </c>
      <c r="M145" t="s">
        <v>84</v>
      </c>
      <c r="N145" s="9">
        <v>2.9260273972602739</v>
      </c>
      <c r="O145" t="s">
        <v>28</v>
      </c>
    </row>
    <row r="146" spans="3:15" x14ac:dyDescent="0.3">
      <c r="C146" t="s">
        <v>439</v>
      </c>
      <c r="D146" t="s">
        <v>440</v>
      </c>
      <c r="E146" t="s">
        <v>441</v>
      </c>
      <c r="F146" t="s">
        <v>24</v>
      </c>
      <c r="G146" t="s">
        <v>25</v>
      </c>
      <c r="H146" s="5">
        <v>33031.26</v>
      </c>
      <c r="I146" t="s">
        <v>65</v>
      </c>
      <c r="J146" s="6">
        <v>43468</v>
      </c>
      <c r="K146">
        <v>0.4</v>
      </c>
      <c r="L146" t="s">
        <v>18</v>
      </c>
      <c r="M146" t="s">
        <v>41</v>
      </c>
      <c r="N146" s="9">
        <v>5.4684931506849317</v>
      </c>
      <c r="O146" t="s">
        <v>28</v>
      </c>
    </row>
    <row r="147" spans="3:15" x14ac:dyDescent="0.3">
      <c r="C147" t="s">
        <v>651</v>
      </c>
      <c r="D147" t="s">
        <v>652</v>
      </c>
      <c r="E147" t="s">
        <v>653</v>
      </c>
      <c r="F147" t="s">
        <v>15</v>
      </c>
      <c r="G147" t="s">
        <v>25</v>
      </c>
      <c r="H147" s="5">
        <v>106400.02</v>
      </c>
      <c r="I147" t="s">
        <v>17</v>
      </c>
      <c r="J147" s="6">
        <v>44021</v>
      </c>
      <c r="K147">
        <v>1</v>
      </c>
      <c r="L147" t="s">
        <v>76</v>
      </c>
      <c r="M147" t="s">
        <v>84</v>
      </c>
      <c r="N147" s="9">
        <v>3.9534246575342467</v>
      </c>
      <c r="O147" t="s">
        <v>20</v>
      </c>
    </row>
    <row r="148" spans="3:15" x14ac:dyDescent="0.3">
      <c r="C148" t="s">
        <v>398</v>
      </c>
      <c r="D148" t="s">
        <v>531</v>
      </c>
      <c r="E148" t="s">
        <v>532</v>
      </c>
      <c r="F148" t="s">
        <v>24</v>
      </c>
      <c r="G148" t="s">
        <v>101</v>
      </c>
      <c r="H148" s="5">
        <v>76303.820000000007</v>
      </c>
      <c r="I148" t="s">
        <v>26</v>
      </c>
      <c r="J148" s="6">
        <v>43458</v>
      </c>
      <c r="K148">
        <v>1</v>
      </c>
      <c r="L148" t="s">
        <v>37</v>
      </c>
      <c r="M148" t="s">
        <v>41</v>
      </c>
      <c r="N148" s="9">
        <v>5.4958904109589044</v>
      </c>
      <c r="O148" t="s">
        <v>20</v>
      </c>
    </row>
    <row r="149" spans="3:15" x14ac:dyDescent="0.3">
      <c r="C149" t="s">
        <v>651</v>
      </c>
      <c r="D149" t="s">
        <v>675</v>
      </c>
      <c r="E149" t="s">
        <v>676</v>
      </c>
      <c r="F149" t="s">
        <v>15</v>
      </c>
      <c r="G149" t="s">
        <v>25</v>
      </c>
      <c r="H149" s="5">
        <v>106400.02</v>
      </c>
      <c r="I149" t="s">
        <v>17</v>
      </c>
      <c r="J149" s="6">
        <v>44021</v>
      </c>
      <c r="K149">
        <v>1</v>
      </c>
      <c r="L149" t="s">
        <v>76</v>
      </c>
      <c r="M149" t="s">
        <v>84</v>
      </c>
      <c r="N149" s="9">
        <v>3.9534246575342467</v>
      </c>
      <c r="O149" t="s">
        <v>20</v>
      </c>
    </row>
    <row r="150" spans="3:15" x14ac:dyDescent="0.3">
      <c r="C150" t="s">
        <v>225</v>
      </c>
      <c r="D150" t="s">
        <v>226</v>
      </c>
      <c r="E150" t="s">
        <v>227</v>
      </c>
      <c r="F150" t="s">
        <v>24</v>
      </c>
      <c r="G150" t="s">
        <v>131</v>
      </c>
      <c r="H150" s="5">
        <v>63705.4</v>
      </c>
      <c r="I150" t="s">
        <v>26</v>
      </c>
      <c r="J150" s="6">
        <v>43682</v>
      </c>
      <c r="K150">
        <v>1</v>
      </c>
      <c r="L150" t="s">
        <v>18</v>
      </c>
      <c r="M150" t="s">
        <v>41</v>
      </c>
      <c r="N150" s="9">
        <v>4.882191780821918</v>
      </c>
      <c r="O150" t="s">
        <v>20</v>
      </c>
    </row>
    <row r="151" spans="3:15" x14ac:dyDescent="0.3">
      <c r="C151" t="s">
        <v>578</v>
      </c>
      <c r="D151" t="s">
        <v>579</v>
      </c>
      <c r="E151" t="s">
        <v>580</v>
      </c>
      <c r="F151" t="s">
        <v>15</v>
      </c>
      <c r="G151" t="s">
        <v>58</v>
      </c>
      <c r="H151" s="5">
        <v>62281.24</v>
      </c>
      <c r="I151" t="s">
        <v>26</v>
      </c>
      <c r="J151" s="6">
        <v>43272</v>
      </c>
      <c r="K151">
        <v>1</v>
      </c>
      <c r="L151" t="s">
        <v>18</v>
      </c>
      <c r="M151" t="s">
        <v>19</v>
      </c>
      <c r="N151" s="9">
        <v>6.0054794520547947</v>
      </c>
      <c r="O151" t="s">
        <v>20</v>
      </c>
    </row>
    <row r="152" spans="3:15" x14ac:dyDescent="0.3">
      <c r="C152" t="s">
        <v>539</v>
      </c>
      <c r="D152" t="s">
        <v>540</v>
      </c>
      <c r="E152" t="s">
        <v>541</v>
      </c>
      <c r="F152" t="s">
        <v>24</v>
      </c>
      <c r="G152" t="s">
        <v>97</v>
      </c>
      <c r="H152" s="5">
        <v>73488.679999999993</v>
      </c>
      <c r="I152" t="s">
        <v>26</v>
      </c>
      <c r="J152" s="6">
        <v>43570</v>
      </c>
      <c r="K152">
        <v>1</v>
      </c>
      <c r="L152" t="s">
        <v>37</v>
      </c>
      <c r="M152" t="s">
        <v>27</v>
      </c>
      <c r="N152" s="9">
        <v>5.1890410958904107</v>
      </c>
      <c r="O152" t="s">
        <v>20</v>
      </c>
    </row>
    <row r="153" spans="3:15" x14ac:dyDescent="0.3">
      <c r="C153" t="s">
        <v>55</v>
      </c>
      <c r="D153" t="s">
        <v>56</v>
      </c>
      <c r="E153" t="s">
        <v>57</v>
      </c>
      <c r="F153" t="s">
        <v>15</v>
      </c>
      <c r="G153" t="s">
        <v>58</v>
      </c>
      <c r="H153" s="5">
        <v>74279.009999999995</v>
      </c>
      <c r="I153" t="s">
        <v>26</v>
      </c>
      <c r="J153" s="6">
        <v>43466</v>
      </c>
      <c r="K153">
        <v>1</v>
      </c>
      <c r="L153" t="s">
        <v>18</v>
      </c>
      <c r="M153" t="s">
        <v>45</v>
      </c>
      <c r="N153" s="9">
        <v>5.4739726027397264</v>
      </c>
      <c r="O153" t="s">
        <v>20</v>
      </c>
    </row>
    <row r="154" spans="3:15" x14ac:dyDescent="0.3">
      <c r="C154" t="s">
        <v>125</v>
      </c>
      <c r="D154" t="s">
        <v>126</v>
      </c>
      <c r="E154" t="s">
        <v>127</v>
      </c>
      <c r="F154" t="s">
        <v>15</v>
      </c>
      <c r="G154" t="s">
        <v>101</v>
      </c>
      <c r="H154" s="5">
        <v>52246.29</v>
      </c>
      <c r="I154" t="s">
        <v>26</v>
      </c>
      <c r="J154" s="6">
        <v>43573</v>
      </c>
      <c r="K154">
        <v>1</v>
      </c>
      <c r="L154" t="s">
        <v>76</v>
      </c>
      <c r="M154" t="s">
        <v>45</v>
      </c>
      <c r="N154" s="9">
        <v>5.1808219178082195</v>
      </c>
      <c r="O154" t="s">
        <v>20</v>
      </c>
    </row>
    <row r="155" spans="3:15" x14ac:dyDescent="0.3">
      <c r="C155" t="s">
        <v>478</v>
      </c>
      <c r="D155" t="s">
        <v>479</v>
      </c>
      <c r="E155" t="s">
        <v>480</v>
      </c>
      <c r="F155" t="s">
        <v>24</v>
      </c>
      <c r="G155" t="s">
        <v>105</v>
      </c>
      <c r="H155" s="5">
        <v>84598.88</v>
      </c>
      <c r="I155" t="s">
        <v>26</v>
      </c>
      <c r="J155" s="6">
        <v>44116</v>
      </c>
      <c r="K155">
        <v>1</v>
      </c>
      <c r="L155" t="s">
        <v>37</v>
      </c>
      <c r="M155" t="s">
        <v>27</v>
      </c>
      <c r="N155" s="9">
        <v>3.6931506849315068</v>
      </c>
      <c r="O155" t="s">
        <v>20</v>
      </c>
    </row>
    <row r="156" spans="3:15" x14ac:dyDescent="0.3">
      <c r="C156" t="s">
        <v>478</v>
      </c>
      <c r="D156" t="s">
        <v>479</v>
      </c>
      <c r="E156" t="s">
        <v>480</v>
      </c>
      <c r="F156" t="s">
        <v>24</v>
      </c>
      <c r="G156" t="s">
        <v>105</v>
      </c>
      <c r="H156" s="5">
        <v>84598.88</v>
      </c>
      <c r="I156" t="s">
        <v>26</v>
      </c>
      <c r="J156" s="6">
        <v>44116</v>
      </c>
      <c r="K156">
        <v>1</v>
      </c>
      <c r="L156" t="s">
        <v>37</v>
      </c>
      <c r="M156" t="s">
        <v>27</v>
      </c>
      <c r="N156" s="9">
        <v>3.6931506849315068</v>
      </c>
      <c r="O156" t="s">
        <v>20</v>
      </c>
    </row>
    <row r="157" spans="3:15" x14ac:dyDescent="0.3">
      <c r="C157" t="s">
        <v>330</v>
      </c>
      <c r="D157" t="s">
        <v>331</v>
      </c>
      <c r="E157" t="s">
        <v>332</v>
      </c>
      <c r="F157" t="s">
        <v>15</v>
      </c>
      <c r="G157" t="s">
        <v>36</v>
      </c>
      <c r="H157" s="5">
        <v>112778.28</v>
      </c>
      <c r="I157" t="s">
        <v>17</v>
      </c>
      <c r="J157" s="6">
        <v>43250</v>
      </c>
      <c r="K157">
        <v>1</v>
      </c>
      <c r="L157" t="s">
        <v>37</v>
      </c>
      <c r="M157" t="s">
        <v>19</v>
      </c>
      <c r="N157" s="9">
        <v>6.065753424657534</v>
      </c>
      <c r="O157" t="s">
        <v>20</v>
      </c>
    </row>
    <row r="158" spans="3:15" x14ac:dyDescent="0.3">
      <c r="C158" t="s">
        <v>330</v>
      </c>
      <c r="D158" t="s">
        <v>331</v>
      </c>
      <c r="E158" t="s">
        <v>332</v>
      </c>
      <c r="F158" t="s">
        <v>15</v>
      </c>
      <c r="G158" t="s">
        <v>36</v>
      </c>
      <c r="H158" s="5">
        <v>112778.28</v>
      </c>
      <c r="I158" t="s">
        <v>17</v>
      </c>
      <c r="J158" s="6">
        <v>43250</v>
      </c>
      <c r="K158">
        <v>1</v>
      </c>
      <c r="L158" t="s">
        <v>37</v>
      </c>
      <c r="M158" t="s">
        <v>19</v>
      </c>
      <c r="N158" s="9">
        <v>6.065753424657534</v>
      </c>
      <c r="O158" t="s">
        <v>20</v>
      </c>
    </row>
    <row r="159" spans="3:15" x14ac:dyDescent="0.3">
      <c r="C159" t="s">
        <v>575</v>
      </c>
      <c r="D159" t="s">
        <v>319</v>
      </c>
      <c r="E159" t="s">
        <v>320</v>
      </c>
      <c r="F159" t="s">
        <v>24</v>
      </c>
      <c r="G159" t="s">
        <v>105</v>
      </c>
      <c r="H159" s="5">
        <v>41934.71</v>
      </c>
      <c r="I159" t="s">
        <v>65</v>
      </c>
      <c r="J159" s="6">
        <v>43780</v>
      </c>
      <c r="K159">
        <v>1</v>
      </c>
      <c r="L159" t="s">
        <v>18</v>
      </c>
      <c r="M159" t="s">
        <v>19</v>
      </c>
      <c r="N159" s="9">
        <v>4.6136986301369864</v>
      </c>
      <c r="O159" t="s">
        <v>20</v>
      </c>
    </row>
    <row r="160" spans="3:15" x14ac:dyDescent="0.3">
      <c r="C160" t="s">
        <v>318</v>
      </c>
      <c r="D160" t="s">
        <v>319</v>
      </c>
      <c r="E160" t="s">
        <v>320</v>
      </c>
      <c r="F160" t="s">
        <v>24</v>
      </c>
      <c r="G160" t="s">
        <v>105</v>
      </c>
      <c r="H160" s="5">
        <v>41934.71</v>
      </c>
      <c r="I160" t="s">
        <v>65</v>
      </c>
      <c r="J160" s="6">
        <v>43943</v>
      </c>
      <c r="K160">
        <v>1</v>
      </c>
      <c r="L160" t="s">
        <v>18</v>
      </c>
      <c r="M160" t="s">
        <v>19</v>
      </c>
      <c r="N160" s="9">
        <v>4.1671232876712327</v>
      </c>
      <c r="O160" t="s">
        <v>20</v>
      </c>
    </row>
    <row r="161" spans="3:15" x14ac:dyDescent="0.3">
      <c r="C161" t="s">
        <v>587</v>
      </c>
      <c r="D161" t="s">
        <v>588</v>
      </c>
      <c r="E161" t="s">
        <v>589</v>
      </c>
      <c r="F161" t="s">
        <v>15</v>
      </c>
      <c r="G161" t="s">
        <v>16</v>
      </c>
      <c r="H161" s="5">
        <v>53184.02</v>
      </c>
      <c r="I161" t="s">
        <v>26</v>
      </c>
      <c r="J161" s="6">
        <v>43180</v>
      </c>
      <c r="K161">
        <v>1</v>
      </c>
      <c r="L161" t="s">
        <v>37</v>
      </c>
      <c r="M161" t="s">
        <v>19</v>
      </c>
      <c r="N161" s="9">
        <v>6.2575342465753421</v>
      </c>
      <c r="O161" t="s">
        <v>20</v>
      </c>
    </row>
    <row r="162" spans="3:15" x14ac:dyDescent="0.3">
      <c r="C162" t="s">
        <v>431</v>
      </c>
      <c r="D162" t="s">
        <v>432</v>
      </c>
      <c r="E162" t="s">
        <v>433</v>
      </c>
      <c r="F162" t="s">
        <v>15</v>
      </c>
      <c r="G162" t="s">
        <v>124</v>
      </c>
      <c r="H162" s="5">
        <v>31241.24</v>
      </c>
      <c r="I162" t="s">
        <v>65</v>
      </c>
      <c r="J162" s="6">
        <v>43725</v>
      </c>
      <c r="K162">
        <v>1</v>
      </c>
      <c r="L162" t="s">
        <v>18</v>
      </c>
      <c r="M162" t="s">
        <v>19</v>
      </c>
      <c r="N162" s="9">
        <v>4.7643835616438359</v>
      </c>
      <c r="O162" t="s">
        <v>20</v>
      </c>
    </row>
    <row r="163" spans="3:15" x14ac:dyDescent="0.3">
      <c r="C163" t="s">
        <v>660</v>
      </c>
      <c r="D163" t="s">
        <v>661</v>
      </c>
      <c r="E163" t="s">
        <v>662</v>
      </c>
      <c r="F163" t="s">
        <v>15</v>
      </c>
      <c r="G163" t="s">
        <v>58</v>
      </c>
      <c r="H163" s="5">
        <v>69709.509999999995</v>
      </c>
      <c r="I163" t="s">
        <v>26</v>
      </c>
      <c r="J163" s="6">
        <v>43472</v>
      </c>
      <c r="K163">
        <v>1</v>
      </c>
      <c r="L163" t="s">
        <v>18</v>
      </c>
      <c r="M163" t="s">
        <v>41</v>
      </c>
      <c r="N163" s="9">
        <v>5.4575342465753423</v>
      </c>
      <c r="O163" t="s">
        <v>20</v>
      </c>
    </row>
    <row r="164" spans="3:15" x14ac:dyDescent="0.3">
      <c r="C164" t="s">
        <v>62</v>
      </c>
      <c r="D164" t="s">
        <v>63</v>
      </c>
      <c r="E164" t="s">
        <v>64</v>
      </c>
      <c r="F164" t="s">
        <v>24</v>
      </c>
      <c r="G164" t="s">
        <v>32</v>
      </c>
      <c r="H164" s="5">
        <v>42314.39</v>
      </c>
      <c r="I164" t="s">
        <v>65</v>
      </c>
      <c r="J164" s="6">
        <v>44487</v>
      </c>
      <c r="K164">
        <v>1</v>
      </c>
      <c r="L164" t="s">
        <v>37</v>
      </c>
      <c r="M164" t="s">
        <v>19</v>
      </c>
      <c r="N164" s="9">
        <v>2.6767123287671235</v>
      </c>
      <c r="O164" t="s">
        <v>20</v>
      </c>
    </row>
    <row r="165" spans="3:15" x14ac:dyDescent="0.3">
      <c r="C165" t="s">
        <v>722</v>
      </c>
      <c r="D165" t="s">
        <v>723</v>
      </c>
      <c r="E165" t="s">
        <v>724</v>
      </c>
      <c r="F165" t="s">
        <v>15</v>
      </c>
      <c r="G165" t="s">
        <v>16</v>
      </c>
      <c r="H165" s="5">
        <v>92943.89</v>
      </c>
      <c r="I165" t="s">
        <v>26</v>
      </c>
      <c r="J165" s="6">
        <v>44510</v>
      </c>
      <c r="K165">
        <v>1</v>
      </c>
      <c r="L165" t="s">
        <v>18</v>
      </c>
      <c r="M165" t="s">
        <v>41</v>
      </c>
      <c r="N165" s="9">
        <v>2.6136986301369864</v>
      </c>
      <c r="O165" t="s">
        <v>20</v>
      </c>
    </row>
    <row r="166" spans="3:15" x14ac:dyDescent="0.3">
      <c r="C166" t="s">
        <v>348</v>
      </c>
      <c r="D166" t="s">
        <v>349</v>
      </c>
      <c r="E166" t="s">
        <v>350</v>
      </c>
      <c r="F166" t="s">
        <v>15</v>
      </c>
      <c r="G166" t="s">
        <v>25</v>
      </c>
      <c r="H166" s="5">
        <v>71371.37</v>
      </c>
      <c r="I166" t="s">
        <v>26</v>
      </c>
      <c r="J166" s="6">
        <v>43392</v>
      </c>
      <c r="K166">
        <v>1</v>
      </c>
      <c r="L166" t="s">
        <v>18</v>
      </c>
      <c r="M166" t="s">
        <v>41</v>
      </c>
      <c r="N166" s="9">
        <v>5.6767123287671231</v>
      </c>
      <c r="O166" t="s">
        <v>20</v>
      </c>
    </row>
    <row r="167" spans="3:15" x14ac:dyDescent="0.3">
      <c r="C167" t="s">
        <v>536</v>
      </c>
      <c r="D167" t="s">
        <v>537</v>
      </c>
      <c r="E167" t="s">
        <v>538</v>
      </c>
      <c r="F167" t="s">
        <v>24</v>
      </c>
      <c r="G167" t="s">
        <v>36</v>
      </c>
      <c r="H167" s="5">
        <v>58744.17</v>
      </c>
      <c r="I167" t="s">
        <v>26</v>
      </c>
      <c r="J167" s="6">
        <v>43171</v>
      </c>
      <c r="K167">
        <v>1</v>
      </c>
      <c r="L167" t="s">
        <v>76</v>
      </c>
      <c r="M167" t="s">
        <v>72</v>
      </c>
      <c r="N167" s="9">
        <v>6.2821917808219174</v>
      </c>
      <c r="O167" t="s">
        <v>20</v>
      </c>
    </row>
    <row r="168" spans="3:15" x14ac:dyDescent="0.3">
      <c r="C168" t="s">
        <v>498</v>
      </c>
      <c r="D168" t="s">
        <v>499</v>
      </c>
      <c r="E168" t="s">
        <v>500</v>
      </c>
      <c r="F168" t="s">
        <v>24</v>
      </c>
      <c r="G168" t="s">
        <v>25</v>
      </c>
      <c r="H168" s="5">
        <v>86233.83</v>
      </c>
      <c r="I168" t="s">
        <v>26</v>
      </c>
      <c r="J168" s="6">
        <v>43706</v>
      </c>
      <c r="K168">
        <v>1</v>
      </c>
      <c r="L168" t="s">
        <v>37</v>
      </c>
      <c r="M168" t="s">
        <v>84</v>
      </c>
      <c r="N168" s="9">
        <v>4.816438356164384</v>
      </c>
      <c r="O168" t="s">
        <v>20</v>
      </c>
    </row>
    <row r="169" spans="3:15" x14ac:dyDescent="0.3">
      <c r="C169" t="s">
        <v>112</v>
      </c>
      <c r="D169" t="s">
        <v>113</v>
      </c>
      <c r="E169" t="s">
        <v>114</v>
      </c>
      <c r="F169" t="s">
        <v>49</v>
      </c>
      <c r="G169" t="s">
        <v>36</v>
      </c>
      <c r="H169" s="5">
        <v>78840.23</v>
      </c>
      <c r="I169" t="s">
        <v>26</v>
      </c>
      <c r="J169" s="6">
        <v>43633</v>
      </c>
      <c r="K169">
        <v>1</v>
      </c>
      <c r="L169" t="s">
        <v>76</v>
      </c>
      <c r="M169" t="s">
        <v>19</v>
      </c>
      <c r="N169" s="9">
        <v>5.0164383561643833</v>
      </c>
      <c r="O169" t="s">
        <v>20</v>
      </c>
    </row>
    <row r="170" spans="3:15" x14ac:dyDescent="0.3">
      <c r="C170" t="s">
        <v>701</v>
      </c>
      <c r="D170" t="s">
        <v>702</v>
      </c>
      <c r="E170" t="s">
        <v>703</v>
      </c>
      <c r="F170" t="s">
        <v>15</v>
      </c>
      <c r="G170" t="s">
        <v>105</v>
      </c>
      <c r="H170" s="5">
        <v>80772.92</v>
      </c>
      <c r="I170" t="s">
        <v>26</v>
      </c>
      <c r="J170" s="6">
        <v>44137</v>
      </c>
      <c r="K170">
        <v>1</v>
      </c>
      <c r="L170" t="s">
        <v>76</v>
      </c>
      <c r="M170" t="s">
        <v>19</v>
      </c>
      <c r="N170" s="9">
        <v>3.6356164383561644</v>
      </c>
      <c r="O170" t="s">
        <v>20</v>
      </c>
    </row>
    <row r="171" spans="3:15" x14ac:dyDescent="0.3">
      <c r="C171" t="s">
        <v>383</v>
      </c>
      <c r="D171" t="s">
        <v>384</v>
      </c>
      <c r="E171" t="s">
        <v>385</v>
      </c>
      <c r="F171" t="s">
        <v>15</v>
      </c>
      <c r="G171" t="s">
        <v>131</v>
      </c>
      <c r="H171" s="5">
        <v>72843.23</v>
      </c>
      <c r="I171" t="s">
        <v>26</v>
      </c>
      <c r="J171" s="6">
        <v>43280</v>
      </c>
      <c r="K171">
        <v>1</v>
      </c>
      <c r="L171" t="s">
        <v>37</v>
      </c>
      <c r="M171" t="s">
        <v>45</v>
      </c>
      <c r="N171" s="9">
        <v>5.9835616438356167</v>
      </c>
      <c r="O171" t="s">
        <v>20</v>
      </c>
    </row>
    <row r="172" spans="3:15" x14ac:dyDescent="0.3">
      <c r="C172" t="s">
        <v>707</v>
      </c>
      <c r="D172" t="s">
        <v>708</v>
      </c>
      <c r="E172" t="s">
        <v>709</v>
      </c>
      <c r="F172" t="s">
        <v>24</v>
      </c>
      <c r="G172" t="s">
        <v>16</v>
      </c>
      <c r="H172" s="5">
        <v>78378.2</v>
      </c>
      <c r="I172" t="s">
        <v>26</v>
      </c>
      <c r="J172" s="6">
        <v>43465</v>
      </c>
      <c r="K172">
        <v>0.4</v>
      </c>
      <c r="L172" t="s">
        <v>18</v>
      </c>
      <c r="M172" t="s">
        <v>19</v>
      </c>
      <c r="N172" s="9">
        <v>5.4767123287671229</v>
      </c>
      <c r="O172" t="s">
        <v>28</v>
      </c>
    </row>
    <row r="173" spans="3:15" x14ac:dyDescent="0.3">
      <c r="C173" t="s">
        <v>204</v>
      </c>
      <c r="D173" t="s">
        <v>205</v>
      </c>
      <c r="E173" t="s">
        <v>206</v>
      </c>
      <c r="F173" t="s">
        <v>15</v>
      </c>
      <c r="G173" t="s">
        <v>58</v>
      </c>
      <c r="H173" s="5">
        <v>85455.53</v>
      </c>
      <c r="I173" t="s">
        <v>26</v>
      </c>
      <c r="J173" s="6">
        <v>43839</v>
      </c>
      <c r="K173">
        <v>1</v>
      </c>
      <c r="L173" t="s">
        <v>18</v>
      </c>
      <c r="M173" t="s">
        <v>45</v>
      </c>
      <c r="N173" s="9">
        <v>4.4520547945205475</v>
      </c>
      <c r="O173" t="s">
        <v>20</v>
      </c>
    </row>
    <row r="174" spans="3:15" x14ac:dyDescent="0.3">
      <c r="C174" t="s">
        <v>109</v>
      </c>
      <c r="D174" t="s">
        <v>110</v>
      </c>
      <c r="E174" t="s">
        <v>111</v>
      </c>
      <c r="F174" t="s">
        <v>24</v>
      </c>
      <c r="G174" t="s">
        <v>36</v>
      </c>
      <c r="H174" s="5">
        <v>71570.990000000005</v>
      </c>
      <c r="I174" t="s">
        <v>26</v>
      </c>
      <c r="J174" s="6">
        <v>44249</v>
      </c>
      <c r="K174">
        <v>0.5</v>
      </c>
      <c r="L174" t="s">
        <v>18</v>
      </c>
      <c r="M174" t="s">
        <v>41</v>
      </c>
      <c r="N174" s="9">
        <v>3.3287671232876712</v>
      </c>
      <c r="O174" t="s">
        <v>28</v>
      </c>
    </row>
    <row r="175" spans="3:15" x14ac:dyDescent="0.3">
      <c r="C175" t="s">
        <v>563</v>
      </c>
      <c r="D175" t="s">
        <v>564</v>
      </c>
      <c r="E175" t="s">
        <v>565</v>
      </c>
      <c r="F175" t="s">
        <v>24</v>
      </c>
      <c r="G175" t="s">
        <v>124</v>
      </c>
      <c r="H175" s="5">
        <v>68795.48</v>
      </c>
      <c r="I175" t="s">
        <v>26</v>
      </c>
      <c r="J175" s="6">
        <v>44277</v>
      </c>
      <c r="K175">
        <v>0.2</v>
      </c>
      <c r="L175" t="s">
        <v>18</v>
      </c>
      <c r="M175" t="s">
        <v>19</v>
      </c>
      <c r="N175" s="9">
        <v>3.2520547945205478</v>
      </c>
      <c r="O175" t="s">
        <v>28</v>
      </c>
    </row>
    <row r="176" spans="3:15" x14ac:dyDescent="0.3">
      <c r="C176" t="s">
        <v>563</v>
      </c>
      <c r="D176" t="s">
        <v>564</v>
      </c>
      <c r="E176" t="s">
        <v>565</v>
      </c>
      <c r="F176" t="s">
        <v>24</v>
      </c>
      <c r="G176" t="s">
        <v>124</v>
      </c>
      <c r="H176" s="5">
        <v>68795.48</v>
      </c>
      <c r="I176" t="s">
        <v>26</v>
      </c>
      <c r="J176" s="6">
        <v>44277</v>
      </c>
      <c r="K176">
        <v>0.2</v>
      </c>
      <c r="L176" t="s">
        <v>18</v>
      </c>
      <c r="M176" t="s">
        <v>19</v>
      </c>
      <c r="N176" s="9">
        <v>3.2520547945205478</v>
      </c>
      <c r="O176" t="s">
        <v>28</v>
      </c>
    </row>
    <row r="177" spans="3:15" x14ac:dyDescent="0.3">
      <c r="C177" t="s">
        <v>691</v>
      </c>
      <c r="D177" t="s">
        <v>692</v>
      </c>
      <c r="E177" t="s">
        <v>693</v>
      </c>
      <c r="F177" t="s">
        <v>15</v>
      </c>
      <c r="G177" t="s">
        <v>97</v>
      </c>
      <c r="H177" s="5">
        <v>28329.77</v>
      </c>
      <c r="I177" t="s">
        <v>65</v>
      </c>
      <c r="J177" s="6">
        <v>43402</v>
      </c>
      <c r="K177">
        <v>1</v>
      </c>
      <c r="L177" t="s">
        <v>18</v>
      </c>
      <c r="M177" t="s">
        <v>27</v>
      </c>
      <c r="N177" s="9">
        <v>5.6493150684931503</v>
      </c>
      <c r="O177" t="s">
        <v>20</v>
      </c>
    </row>
    <row r="178" spans="3:15" x14ac:dyDescent="0.3">
      <c r="C178" t="s">
        <v>374</v>
      </c>
      <c r="D178" t="s">
        <v>375</v>
      </c>
      <c r="E178" t="s">
        <v>376</v>
      </c>
      <c r="F178" t="s">
        <v>15</v>
      </c>
      <c r="G178" t="s">
        <v>32</v>
      </c>
      <c r="H178" s="5">
        <v>111815.49</v>
      </c>
      <c r="I178" t="s">
        <v>17</v>
      </c>
      <c r="J178" s="6">
        <v>43895</v>
      </c>
      <c r="K178">
        <v>0.7</v>
      </c>
      <c r="L178" t="s">
        <v>76</v>
      </c>
      <c r="M178" t="s">
        <v>19</v>
      </c>
      <c r="N178" s="9">
        <v>4.2986301369863016</v>
      </c>
      <c r="O178" t="s">
        <v>28</v>
      </c>
    </row>
    <row r="179" spans="3:15" x14ac:dyDescent="0.3">
      <c r="C179" t="s">
        <v>374</v>
      </c>
      <c r="D179" t="s">
        <v>375</v>
      </c>
      <c r="E179" t="s">
        <v>376</v>
      </c>
      <c r="F179" t="s">
        <v>15</v>
      </c>
      <c r="G179" t="s">
        <v>32</v>
      </c>
      <c r="H179" s="5">
        <v>111815.49</v>
      </c>
      <c r="I179" t="s">
        <v>17</v>
      </c>
      <c r="J179" s="6">
        <v>43895</v>
      </c>
      <c r="K179">
        <v>0.7</v>
      </c>
      <c r="L179" t="s">
        <v>76</v>
      </c>
      <c r="M179" t="s">
        <v>19</v>
      </c>
      <c r="N179" s="9">
        <v>4.2986301369863016</v>
      </c>
      <c r="O179" t="s">
        <v>28</v>
      </c>
    </row>
    <row r="180" spans="3:15" x14ac:dyDescent="0.3">
      <c r="C180" t="s">
        <v>29</v>
      </c>
      <c r="D180" t="s">
        <v>30</v>
      </c>
      <c r="E180" t="s">
        <v>31</v>
      </c>
      <c r="F180" t="s">
        <v>24</v>
      </c>
      <c r="G180" t="s">
        <v>32</v>
      </c>
      <c r="H180" s="5">
        <v>120000</v>
      </c>
      <c r="I180" t="s">
        <v>17</v>
      </c>
      <c r="J180" s="6">
        <v>43902</v>
      </c>
      <c r="K180">
        <v>0.9</v>
      </c>
      <c r="L180" t="s">
        <v>18</v>
      </c>
      <c r="M180" t="s">
        <v>19</v>
      </c>
      <c r="N180" s="9">
        <v>4.279452054794521</v>
      </c>
      <c r="O180" t="s">
        <v>28</v>
      </c>
    </row>
    <row r="181" spans="3:15" x14ac:dyDescent="0.3">
      <c r="C181" t="s">
        <v>213</v>
      </c>
      <c r="D181" t="s">
        <v>214</v>
      </c>
      <c r="E181" t="s">
        <v>215</v>
      </c>
      <c r="F181" t="s">
        <v>15</v>
      </c>
      <c r="G181" t="s">
        <v>16</v>
      </c>
      <c r="H181" s="5">
        <v>50855.53</v>
      </c>
      <c r="I181" t="s">
        <v>26</v>
      </c>
      <c r="J181" s="6">
        <v>44221</v>
      </c>
      <c r="K181">
        <v>1</v>
      </c>
      <c r="L181" t="s">
        <v>18</v>
      </c>
      <c r="M181" t="s">
        <v>45</v>
      </c>
      <c r="N181" s="9">
        <v>3.4054794520547946</v>
      </c>
      <c r="O181" t="s">
        <v>20</v>
      </c>
    </row>
    <row r="182" spans="3:15" x14ac:dyDescent="0.3"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s="5">
        <v>120000</v>
      </c>
      <c r="I182" t="s">
        <v>17</v>
      </c>
      <c r="J182" s="6">
        <v>43416</v>
      </c>
      <c r="K182">
        <v>1</v>
      </c>
      <c r="L182" t="s">
        <v>18</v>
      </c>
      <c r="M182" t="s">
        <v>19</v>
      </c>
      <c r="N182" s="9">
        <v>5.6109589041095891</v>
      </c>
      <c r="O182" t="s">
        <v>20</v>
      </c>
    </row>
    <row r="183" spans="3:15" x14ac:dyDescent="0.3">
      <c r="C183" t="s">
        <v>276</v>
      </c>
      <c r="D183" t="s">
        <v>277</v>
      </c>
      <c r="E183" t="s">
        <v>278</v>
      </c>
      <c r="F183" t="s">
        <v>15</v>
      </c>
      <c r="G183" t="s">
        <v>16</v>
      </c>
      <c r="H183" s="5">
        <v>112645.99</v>
      </c>
      <c r="I183" t="s">
        <v>17</v>
      </c>
      <c r="J183" s="6">
        <v>43759</v>
      </c>
      <c r="K183">
        <v>0.6</v>
      </c>
      <c r="L183" t="s">
        <v>18</v>
      </c>
      <c r="M183" t="s">
        <v>27</v>
      </c>
      <c r="N183" s="9">
        <v>4.6712328767123283</v>
      </c>
      <c r="O183" t="s">
        <v>28</v>
      </c>
    </row>
    <row r="184" spans="3:15" x14ac:dyDescent="0.3">
      <c r="C184" t="s">
        <v>102</v>
      </c>
      <c r="D184" t="s">
        <v>103</v>
      </c>
      <c r="E184" t="s">
        <v>104</v>
      </c>
      <c r="F184" t="s">
        <v>15</v>
      </c>
      <c r="G184" t="s">
        <v>105</v>
      </c>
      <c r="H184" s="5">
        <v>62195.47</v>
      </c>
      <c r="I184" t="s">
        <v>26</v>
      </c>
      <c r="J184" s="6">
        <v>44434</v>
      </c>
      <c r="K184">
        <v>1</v>
      </c>
      <c r="L184" t="s">
        <v>18</v>
      </c>
      <c r="M184" t="s">
        <v>19</v>
      </c>
      <c r="N184" s="9">
        <v>2.8219178082191783</v>
      </c>
      <c r="O184" t="s">
        <v>20</v>
      </c>
    </row>
    <row r="185" spans="3:15" x14ac:dyDescent="0.3">
      <c r="C185" t="s">
        <v>380</v>
      </c>
      <c r="D185" t="s">
        <v>381</v>
      </c>
      <c r="E185" t="s">
        <v>382</v>
      </c>
      <c r="F185" t="s">
        <v>24</v>
      </c>
      <c r="G185" t="s">
        <v>124</v>
      </c>
      <c r="H185" s="5">
        <v>89829.33</v>
      </c>
      <c r="I185" t="s">
        <v>26</v>
      </c>
      <c r="J185" s="6">
        <v>43794</v>
      </c>
      <c r="K185">
        <v>1</v>
      </c>
      <c r="L185" t="s">
        <v>76</v>
      </c>
      <c r="M185" t="s">
        <v>84</v>
      </c>
      <c r="N185" s="9">
        <v>4.5753424657534243</v>
      </c>
      <c r="O185" t="s">
        <v>20</v>
      </c>
    </row>
    <row r="186" spans="3:15" x14ac:dyDescent="0.3">
      <c r="C186" t="s">
        <v>368</v>
      </c>
      <c r="D186" t="s">
        <v>369</v>
      </c>
      <c r="E186" t="s">
        <v>370</v>
      </c>
      <c r="F186" t="s">
        <v>15</v>
      </c>
      <c r="G186" t="s">
        <v>124</v>
      </c>
      <c r="H186" s="5">
        <v>111229.47</v>
      </c>
      <c r="I186" t="s">
        <v>17</v>
      </c>
      <c r="J186" s="6">
        <v>43402</v>
      </c>
      <c r="K186">
        <v>1</v>
      </c>
      <c r="L186" t="s">
        <v>18</v>
      </c>
      <c r="M186" t="s">
        <v>19</v>
      </c>
      <c r="N186" s="9">
        <v>5.6493150684931503</v>
      </c>
      <c r="O186" t="s">
        <v>20</v>
      </c>
    </row>
    <row r="187" spans="3:15" x14ac:dyDescent="0.3">
      <c r="C187" t="s">
        <v>162</v>
      </c>
      <c r="D187" t="s">
        <v>163</v>
      </c>
      <c r="E187" t="s">
        <v>164</v>
      </c>
      <c r="F187" t="s">
        <v>15</v>
      </c>
      <c r="G187" t="s">
        <v>97</v>
      </c>
      <c r="H187" s="5">
        <v>86556.96</v>
      </c>
      <c r="I187" t="s">
        <v>26</v>
      </c>
      <c r="J187" s="6">
        <v>44104</v>
      </c>
      <c r="K187">
        <v>1</v>
      </c>
      <c r="L187" t="s">
        <v>18</v>
      </c>
      <c r="M187" t="s">
        <v>41</v>
      </c>
      <c r="N187" s="9">
        <v>3.7260273972602738</v>
      </c>
      <c r="O187" t="s">
        <v>20</v>
      </c>
    </row>
    <row r="188" spans="3:15" x14ac:dyDescent="0.3">
      <c r="C188" t="s">
        <v>150</v>
      </c>
      <c r="D188" t="s">
        <v>151</v>
      </c>
      <c r="E188" t="s">
        <v>152</v>
      </c>
      <c r="F188" t="s">
        <v>24</v>
      </c>
      <c r="G188" t="s">
        <v>124</v>
      </c>
      <c r="H188" s="5">
        <v>110906.35</v>
      </c>
      <c r="I188" t="s">
        <v>17</v>
      </c>
      <c r="J188" s="6">
        <v>43434</v>
      </c>
      <c r="K188">
        <v>1</v>
      </c>
      <c r="L188" t="s">
        <v>76</v>
      </c>
      <c r="M188" t="s">
        <v>45</v>
      </c>
      <c r="N188" s="9">
        <v>5.5616438356164384</v>
      </c>
      <c r="O188" t="s">
        <v>20</v>
      </c>
    </row>
    <row r="189" spans="3:15" x14ac:dyDescent="0.3">
      <c r="C189" t="s">
        <v>584</v>
      </c>
      <c r="D189" t="s">
        <v>585</v>
      </c>
      <c r="E189" t="s">
        <v>586</v>
      </c>
      <c r="F189" t="s">
        <v>15</v>
      </c>
      <c r="G189" t="s">
        <v>16</v>
      </c>
      <c r="H189" s="5">
        <v>82239.53</v>
      </c>
      <c r="I189" t="s">
        <v>26</v>
      </c>
      <c r="J189" s="6">
        <v>43846</v>
      </c>
      <c r="K189">
        <v>1</v>
      </c>
      <c r="L189" t="s">
        <v>76</v>
      </c>
      <c r="M189" t="s">
        <v>72</v>
      </c>
      <c r="N189" s="9">
        <v>4.4328767123287669</v>
      </c>
      <c r="O189" t="s">
        <v>20</v>
      </c>
    </row>
    <row r="190" spans="3:15" x14ac:dyDescent="0.3">
      <c r="C190" t="s">
        <v>21</v>
      </c>
      <c r="D190" t="s">
        <v>22</v>
      </c>
      <c r="E190" t="s">
        <v>23</v>
      </c>
      <c r="F190" t="s">
        <v>24</v>
      </c>
      <c r="G190" t="s">
        <v>25</v>
      </c>
      <c r="H190" s="5">
        <v>98000</v>
      </c>
      <c r="I190" t="s">
        <v>26</v>
      </c>
      <c r="J190" s="6">
        <v>43710</v>
      </c>
      <c r="K190">
        <v>0.9</v>
      </c>
      <c r="L190" t="s">
        <v>18</v>
      </c>
      <c r="M190" t="s">
        <v>27</v>
      </c>
      <c r="N190" s="9">
        <v>4.8054794520547945</v>
      </c>
      <c r="O190" t="s">
        <v>28</v>
      </c>
    </row>
    <row r="191" spans="3:15" x14ac:dyDescent="0.3">
      <c r="C191" t="s">
        <v>249</v>
      </c>
      <c r="D191" t="s">
        <v>250</v>
      </c>
      <c r="E191" t="s">
        <v>251</v>
      </c>
      <c r="F191" t="s">
        <v>24</v>
      </c>
      <c r="G191" t="s">
        <v>16</v>
      </c>
      <c r="H191" s="5">
        <v>51165.37</v>
      </c>
      <c r="I191" t="s">
        <v>26</v>
      </c>
      <c r="J191" s="6">
        <v>44237</v>
      </c>
      <c r="K191">
        <v>1</v>
      </c>
      <c r="L191" t="s">
        <v>37</v>
      </c>
      <c r="M191" t="s">
        <v>41</v>
      </c>
      <c r="N191" s="9">
        <v>3.3616438356164382</v>
      </c>
      <c r="O191" t="s">
        <v>20</v>
      </c>
    </row>
    <row r="192" spans="3:15" x14ac:dyDescent="0.3">
      <c r="C192" t="s">
        <v>186</v>
      </c>
      <c r="D192" t="s">
        <v>187</v>
      </c>
      <c r="E192" t="s">
        <v>188</v>
      </c>
      <c r="F192" t="s">
        <v>15</v>
      </c>
      <c r="G192" t="s">
        <v>54</v>
      </c>
      <c r="H192" s="5">
        <v>40753.54</v>
      </c>
      <c r="I192" t="s">
        <v>65</v>
      </c>
      <c r="J192" s="6">
        <v>43152</v>
      </c>
      <c r="K192">
        <v>0.6</v>
      </c>
      <c r="L192" t="s">
        <v>18</v>
      </c>
      <c r="M192" t="s">
        <v>45</v>
      </c>
      <c r="N192" s="9">
        <v>6.3342465753424655</v>
      </c>
      <c r="O192" t="s">
        <v>28</v>
      </c>
    </row>
    <row r="193" spans="3:15" x14ac:dyDescent="0.3">
      <c r="C193" t="s">
        <v>38</v>
      </c>
      <c r="D193" t="s">
        <v>39</v>
      </c>
      <c r="E193" t="s">
        <v>40</v>
      </c>
      <c r="F193" t="s">
        <v>24</v>
      </c>
      <c r="G193" t="s">
        <v>36</v>
      </c>
      <c r="H193" s="5">
        <v>57002.02</v>
      </c>
      <c r="I193" t="s">
        <v>26</v>
      </c>
      <c r="J193" s="6">
        <v>43192</v>
      </c>
      <c r="K193">
        <v>0.7</v>
      </c>
      <c r="L193" t="s">
        <v>18</v>
      </c>
      <c r="M193" t="s">
        <v>41</v>
      </c>
      <c r="N193" s="9">
        <v>6.2246575342465755</v>
      </c>
      <c r="O193" t="s">
        <v>28</v>
      </c>
    </row>
    <row r="194" spans="3:15" x14ac:dyDescent="0.3">
      <c r="C194" t="s">
        <v>698</v>
      </c>
      <c r="D194" t="s">
        <v>699</v>
      </c>
      <c r="E194" t="s">
        <v>700</v>
      </c>
      <c r="F194" t="s">
        <v>15</v>
      </c>
      <c r="G194" t="s">
        <v>32</v>
      </c>
      <c r="H194" s="5">
        <v>84742.86</v>
      </c>
      <c r="I194" t="s">
        <v>26</v>
      </c>
      <c r="J194" s="6">
        <v>44098</v>
      </c>
      <c r="K194">
        <v>1</v>
      </c>
      <c r="L194" t="s">
        <v>18</v>
      </c>
      <c r="M194" t="s">
        <v>77</v>
      </c>
      <c r="N194" s="9">
        <v>3.7424657534246575</v>
      </c>
      <c r="O194" t="s">
        <v>20</v>
      </c>
    </row>
    <row r="195" spans="3:15" x14ac:dyDescent="0.3">
      <c r="C195" t="s">
        <v>88</v>
      </c>
      <c r="D195" t="s">
        <v>89</v>
      </c>
      <c r="E195" t="s">
        <v>90</v>
      </c>
      <c r="F195" t="s">
        <v>15</v>
      </c>
      <c r="G195" t="s">
        <v>32</v>
      </c>
      <c r="H195" s="5">
        <v>69913.39</v>
      </c>
      <c r="I195" t="s">
        <v>26</v>
      </c>
      <c r="J195" s="6">
        <v>43584</v>
      </c>
      <c r="K195">
        <v>1</v>
      </c>
      <c r="L195" t="s">
        <v>18</v>
      </c>
      <c r="M195" t="s">
        <v>19</v>
      </c>
      <c r="N195" s="9">
        <v>5.1506849315068495</v>
      </c>
      <c r="O195" t="s">
        <v>20</v>
      </c>
    </row>
    <row r="196" spans="3:15" x14ac:dyDescent="0.3">
      <c r="C196" t="s">
        <v>333</v>
      </c>
      <c r="D196" t="s">
        <v>334</v>
      </c>
      <c r="E196" t="s">
        <v>335</v>
      </c>
      <c r="F196" t="s">
        <v>24</v>
      </c>
      <c r="G196" t="s">
        <v>101</v>
      </c>
      <c r="H196" s="5">
        <v>44845.33</v>
      </c>
      <c r="I196" t="s">
        <v>65</v>
      </c>
      <c r="J196" s="6">
        <v>43277</v>
      </c>
      <c r="K196">
        <v>1</v>
      </c>
      <c r="L196" t="s">
        <v>18</v>
      </c>
      <c r="M196" t="s">
        <v>27</v>
      </c>
      <c r="N196" s="9">
        <v>5.9917808219178079</v>
      </c>
      <c r="O196" t="s">
        <v>20</v>
      </c>
    </row>
    <row r="197" spans="3:15" x14ac:dyDescent="0.3">
      <c r="C197" t="s">
        <v>252</v>
      </c>
      <c r="D197" t="s">
        <v>253</v>
      </c>
      <c r="E197" t="s">
        <v>254</v>
      </c>
      <c r="F197" t="s">
        <v>49</v>
      </c>
      <c r="G197" t="s">
        <v>97</v>
      </c>
      <c r="H197" s="5">
        <v>67957.899999999994</v>
      </c>
      <c r="I197" t="s">
        <v>26</v>
      </c>
      <c r="J197" s="6">
        <v>43430</v>
      </c>
      <c r="K197">
        <v>1</v>
      </c>
      <c r="L197" t="s">
        <v>18</v>
      </c>
      <c r="M197" t="s">
        <v>84</v>
      </c>
      <c r="N197" s="9">
        <v>5.5726027397260278</v>
      </c>
      <c r="O197" t="s">
        <v>20</v>
      </c>
    </row>
    <row r="198" spans="3:15" x14ac:dyDescent="0.3">
      <c r="C198" t="s">
        <v>201</v>
      </c>
      <c r="D198" t="s">
        <v>202</v>
      </c>
      <c r="E198" t="s">
        <v>203</v>
      </c>
      <c r="F198" t="s">
        <v>24</v>
      </c>
      <c r="G198" t="s">
        <v>36</v>
      </c>
      <c r="H198" s="5">
        <v>116767.63</v>
      </c>
      <c r="I198" t="s">
        <v>17</v>
      </c>
      <c r="J198" s="6">
        <v>43949</v>
      </c>
      <c r="K198">
        <v>0.4</v>
      </c>
      <c r="L198" t="s">
        <v>76</v>
      </c>
      <c r="M198" t="s">
        <v>84</v>
      </c>
      <c r="N198" s="9">
        <v>4.1506849315068495</v>
      </c>
      <c r="O198" t="s">
        <v>28</v>
      </c>
    </row>
    <row r="199" spans="3:15" x14ac:dyDescent="0.3">
      <c r="C199" t="s">
        <v>321</v>
      </c>
      <c r="D199" t="s">
        <v>322</v>
      </c>
      <c r="E199" t="s">
        <v>323</v>
      </c>
      <c r="F199" t="s">
        <v>15</v>
      </c>
      <c r="G199" t="s">
        <v>131</v>
      </c>
      <c r="H199" s="5">
        <v>66572.58</v>
      </c>
      <c r="I199" t="s">
        <v>26</v>
      </c>
      <c r="J199" s="6">
        <v>44193</v>
      </c>
      <c r="K199">
        <v>1</v>
      </c>
      <c r="L199" t="s">
        <v>18</v>
      </c>
      <c r="M199" t="s">
        <v>84</v>
      </c>
      <c r="N199" s="9">
        <v>3.4821917808219176</v>
      </c>
      <c r="O199" t="s">
        <v>20</v>
      </c>
    </row>
    <row r="200" spans="3:15" x14ac:dyDescent="0.3">
      <c r="C200" t="s">
        <v>336</v>
      </c>
      <c r="D200" t="s">
        <v>337</v>
      </c>
      <c r="E200" t="s">
        <v>338</v>
      </c>
      <c r="F200" t="s">
        <v>15</v>
      </c>
      <c r="G200" t="s">
        <v>124</v>
      </c>
      <c r="H200" s="5">
        <v>115191.38</v>
      </c>
      <c r="I200" t="s">
        <v>17</v>
      </c>
      <c r="J200" s="6">
        <v>44004</v>
      </c>
      <c r="K200">
        <v>1</v>
      </c>
      <c r="L200" t="s">
        <v>18</v>
      </c>
      <c r="M200" t="s">
        <v>41</v>
      </c>
      <c r="N200" s="9">
        <v>4</v>
      </c>
      <c r="O200" t="s">
        <v>20</v>
      </c>
    </row>
    <row r="201" spans="3:15" x14ac:dyDescent="0.3">
      <c r="C201" t="s">
        <v>551</v>
      </c>
      <c r="D201" t="s">
        <v>552</v>
      </c>
      <c r="E201" t="s">
        <v>553</v>
      </c>
      <c r="F201" t="s">
        <v>24</v>
      </c>
      <c r="G201" t="s">
        <v>32</v>
      </c>
      <c r="H201" s="5">
        <v>109163.39</v>
      </c>
      <c r="I201" t="s">
        <v>17</v>
      </c>
      <c r="J201" s="6">
        <v>44019</v>
      </c>
      <c r="K201">
        <v>0.8</v>
      </c>
      <c r="L201" t="s">
        <v>18</v>
      </c>
      <c r="M201" t="s">
        <v>27</v>
      </c>
      <c r="N201" s="9">
        <v>3.9589041095890409</v>
      </c>
      <c r="O201" t="s">
        <v>28</v>
      </c>
    </row>
    <row r="202" spans="3:15" x14ac:dyDescent="0.3">
      <c r="C202" t="s">
        <v>174</v>
      </c>
      <c r="D202" t="s">
        <v>175</v>
      </c>
      <c r="E202" t="s">
        <v>176</v>
      </c>
      <c r="F202" t="s">
        <v>24</v>
      </c>
      <c r="G202" t="s">
        <v>50</v>
      </c>
      <c r="H202" s="5">
        <v>63555.73</v>
      </c>
      <c r="I202" t="s">
        <v>26</v>
      </c>
      <c r="J202" s="6">
        <v>44159</v>
      </c>
      <c r="K202">
        <v>1</v>
      </c>
      <c r="L202" t="s">
        <v>18</v>
      </c>
      <c r="M202" t="s">
        <v>84</v>
      </c>
      <c r="N202" s="9">
        <v>3.5753424657534247</v>
      </c>
      <c r="O202" t="s">
        <v>20</v>
      </c>
    </row>
    <row r="203" spans="3:15" x14ac:dyDescent="0.3">
      <c r="C203" t="s">
        <v>279</v>
      </c>
      <c r="D203" t="s">
        <v>280</v>
      </c>
      <c r="E203" t="s">
        <v>281</v>
      </c>
      <c r="F203" t="s">
        <v>49</v>
      </c>
      <c r="G203" t="s">
        <v>101</v>
      </c>
      <c r="H203" s="5">
        <v>107107.6</v>
      </c>
      <c r="I203" t="s">
        <v>17</v>
      </c>
      <c r="J203" s="6">
        <v>43325</v>
      </c>
      <c r="K203">
        <v>0.9</v>
      </c>
      <c r="L203" t="s">
        <v>18</v>
      </c>
      <c r="M203" t="s">
        <v>84</v>
      </c>
      <c r="N203" s="9">
        <v>5.86027397260274</v>
      </c>
      <c r="O203" t="s">
        <v>28</v>
      </c>
    </row>
    <row r="204" spans="3:15" x14ac:dyDescent="0.3">
      <c r="C204" t="s">
        <v>672</v>
      </c>
      <c r="D204" t="s">
        <v>673</v>
      </c>
      <c r="E204" t="s">
        <v>674</v>
      </c>
      <c r="F204" t="s">
        <v>15</v>
      </c>
      <c r="G204" t="s">
        <v>97</v>
      </c>
      <c r="H204" s="5">
        <v>48525.71</v>
      </c>
      <c r="I204" t="s">
        <v>65</v>
      </c>
      <c r="J204" s="6">
        <v>43264</v>
      </c>
      <c r="K204">
        <v>1</v>
      </c>
      <c r="L204" t="s">
        <v>18</v>
      </c>
      <c r="M204" t="s">
        <v>41</v>
      </c>
      <c r="N204" s="9">
        <v>6.0273972602739727</v>
      </c>
      <c r="O204" t="s">
        <v>20</v>
      </c>
    </row>
    <row r="205" spans="3:15" x14ac:dyDescent="0.3">
      <c r="C205" t="s">
        <v>324</v>
      </c>
      <c r="D205" t="s">
        <v>325</v>
      </c>
      <c r="E205" t="s">
        <v>326</v>
      </c>
      <c r="F205" t="s">
        <v>15</v>
      </c>
      <c r="G205" t="s">
        <v>54</v>
      </c>
      <c r="H205" s="5">
        <v>76932.600000000006</v>
      </c>
      <c r="I205" t="s">
        <v>26</v>
      </c>
      <c r="J205" s="6">
        <v>43493</v>
      </c>
      <c r="K205">
        <v>1</v>
      </c>
      <c r="L205" t="s">
        <v>18</v>
      </c>
      <c r="M205" t="s">
        <v>41</v>
      </c>
      <c r="N205" s="9">
        <v>5.4</v>
      </c>
      <c r="O205" t="s">
        <v>20</v>
      </c>
    </row>
    <row r="206" spans="3:15" x14ac:dyDescent="0.3">
      <c r="C206" t="s">
        <v>138</v>
      </c>
      <c r="D206" t="s">
        <v>139</v>
      </c>
      <c r="E206" t="s">
        <v>140</v>
      </c>
      <c r="F206" t="s">
        <v>15</v>
      </c>
      <c r="G206" t="s">
        <v>25</v>
      </c>
      <c r="H206" s="5">
        <v>73360.38</v>
      </c>
      <c r="I206" t="s">
        <v>26</v>
      </c>
      <c r="J206" s="6">
        <v>43972</v>
      </c>
      <c r="K206">
        <v>1</v>
      </c>
      <c r="L206" t="s">
        <v>76</v>
      </c>
      <c r="M206" t="s">
        <v>19</v>
      </c>
      <c r="N206" s="9">
        <v>4.087671232876712</v>
      </c>
      <c r="O206" t="s">
        <v>20</v>
      </c>
    </row>
    <row r="207" spans="3:15" x14ac:dyDescent="0.3">
      <c r="C207" t="s">
        <v>138</v>
      </c>
      <c r="D207" t="s">
        <v>139</v>
      </c>
      <c r="E207" t="s">
        <v>140</v>
      </c>
      <c r="F207" t="s">
        <v>15</v>
      </c>
      <c r="G207" t="s">
        <v>25</v>
      </c>
      <c r="H207" s="5">
        <v>73360.38</v>
      </c>
      <c r="I207" t="s">
        <v>26</v>
      </c>
      <c r="J207" s="6">
        <v>43972</v>
      </c>
      <c r="K207">
        <v>1</v>
      </c>
      <c r="L207" t="s">
        <v>76</v>
      </c>
      <c r="M207" t="s">
        <v>19</v>
      </c>
      <c r="N207" s="9">
        <v>4.087671232876712</v>
      </c>
      <c r="O207" t="s">
        <v>20</v>
      </c>
    </row>
    <row r="208" spans="3:15" x14ac:dyDescent="0.3">
      <c r="C208" t="s">
        <v>525</v>
      </c>
      <c r="D208" t="s">
        <v>526</v>
      </c>
      <c r="E208" t="s">
        <v>527</v>
      </c>
      <c r="F208" t="s">
        <v>15</v>
      </c>
      <c r="G208" t="s">
        <v>16</v>
      </c>
      <c r="H208" s="5">
        <v>109143.17</v>
      </c>
      <c r="I208" t="s">
        <v>17</v>
      </c>
      <c r="J208" s="6">
        <v>43945</v>
      </c>
      <c r="K208">
        <v>1</v>
      </c>
      <c r="L208" t="s">
        <v>18</v>
      </c>
      <c r="M208" t="s">
        <v>45</v>
      </c>
      <c r="N208" s="9">
        <v>4.161643835616438</v>
      </c>
      <c r="O208" t="s">
        <v>20</v>
      </c>
    </row>
    <row r="209" spans="3:15" x14ac:dyDescent="0.3">
      <c r="C209" t="s">
        <v>228</v>
      </c>
      <c r="D209" t="s">
        <v>229</v>
      </c>
      <c r="E209" t="s">
        <v>230</v>
      </c>
      <c r="F209" t="s">
        <v>24</v>
      </c>
      <c r="G209" t="s">
        <v>58</v>
      </c>
      <c r="H209" s="5">
        <v>59434.18</v>
      </c>
      <c r="I209" t="s">
        <v>26</v>
      </c>
      <c r="J209" s="6">
        <v>43931</v>
      </c>
      <c r="K209">
        <v>1</v>
      </c>
      <c r="L209" t="s">
        <v>76</v>
      </c>
      <c r="M209" t="s">
        <v>27</v>
      </c>
      <c r="N209" s="9">
        <v>4.2</v>
      </c>
      <c r="O209" t="s">
        <v>20</v>
      </c>
    </row>
    <row r="210" spans="3:15" x14ac:dyDescent="0.3">
      <c r="C210" t="s">
        <v>507</v>
      </c>
      <c r="D210" t="s">
        <v>508</v>
      </c>
      <c r="E210" t="s">
        <v>509</v>
      </c>
      <c r="F210" t="s">
        <v>24</v>
      </c>
      <c r="G210" t="s">
        <v>97</v>
      </c>
      <c r="H210" s="5">
        <v>100731.95</v>
      </c>
      <c r="I210" t="s">
        <v>17</v>
      </c>
      <c r="J210" s="6">
        <v>43936</v>
      </c>
      <c r="K210">
        <v>1</v>
      </c>
      <c r="L210" t="s">
        <v>18</v>
      </c>
      <c r="M210" t="s">
        <v>77</v>
      </c>
      <c r="N210" s="9">
        <v>4.1863013698630134</v>
      </c>
      <c r="O210" t="s">
        <v>20</v>
      </c>
    </row>
    <row r="211" spans="3:15" x14ac:dyDescent="0.3">
      <c r="C211" t="s">
        <v>624</v>
      </c>
      <c r="D211" t="s">
        <v>625</v>
      </c>
      <c r="E211" t="s">
        <v>626</v>
      </c>
      <c r="F211" t="s">
        <v>24</v>
      </c>
      <c r="G211" t="s">
        <v>105</v>
      </c>
      <c r="H211" s="5">
        <v>77045.440000000002</v>
      </c>
      <c r="I211" t="s">
        <v>26</v>
      </c>
      <c r="J211" s="6">
        <v>43636</v>
      </c>
      <c r="K211">
        <v>1</v>
      </c>
      <c r="L211" t="s">
        <v>18</v>
      </c>
      <c r="M211" t="s">
        <v>19</v>
      </c>
      <c r="N211" s="9">
        <v>5.0082191780821921</v>
      </c>
      <c r="O211" t="s">
        <v>20</v>
      </c>
    </row>
    <row r="212" spans="3:15" x14ac:dyDescent="0.3">
      <c r="C212" t="s">
        <v>710</v>
      </c>
      <c r="D212" t="s">
        <v>711</v>
      </c>
      <c r="E212" t="s">
        <v>712</v>
      </c>
      <c r="F212" t="s">
        <v>15</v>
      </c>
      <c r="G212" t="s">
        <v>105</v>
      </c>
      <c r="H212" s="5">
        <v>91314.75</v>
      </c>
      <c r="I212" t="s">
        <v>26</v>
      </c>
      <c r="J212" s="6">
        <v>43931</v>
      </c>
      <c r="K212">
        <v>1</v>
      </c>
      <c r="L212" t="s">
        <v>37</v>
      </c>
      <c r="M212" t="s">
        <v>27</v>
      </c>
      <c r="N212" s="9">
        <v>4.2</v>
      </c>
      <c r="O212" t="s">
        <v>20</v>
      </c>
    </row>
    <row r="213" spans="3:15" x14ac:dyDescent="0.3">
      <c r="C213" t="s">
        <v>569</v>
      </c>
      <c r="D213" t="s">
        <v>570</v>
      </c>
      <c r="E213" t="s">
        <v>571</v>
      </c>
      <c r="F213" t="s">
        <v>15</v>
      </c>
      <c r="G213" t="s">
        <v>58</v>
      </c>
      <c r="H213" s="5">
        <v>78705.929999999993</v>
      </c>
      <c r="I213" t="s">
        <v>26</v>
      </c>
      <c r="J213" s="6">
        <v>43409</v>
      </c>
      <c r="K213">
        <v>1</v>
      </c>
      <c r="L213" t="s">
        <v>37</v>
      </c>
      <c r="M213" t="s">
        <v>27</v>
      </c>
      <c r="N213" s="9">
        <v>5.6301369863013697</v>
      </c>
      <c r="O213" t="s">
        <v>20</v>
      </c>
    </row>
    <row r="214" spans="3:15" x14ac:dyDescent="0.3">
      <c r="C214" t="s">
        <v>605</v>
      </c>
      <c r="D214" t="s">
        <v>606</v>
      </c>
      <c r="E214" t="s">
        <v>607</v>
      </c>
      <c r="F214" t="s">
        <v>24</v>
      </c>
      <c r="G214" t="s">
        <v>32</v>
      </c>
      <c r="H214" s="5">
        <v>71229.42</v>
      </c>
      <c r="I214" t="s">
        <v>26</v>
      </c>
      <c r="J214" s="6">
        <v>44166</v>
      </c>
      <c r="K214">
        <v>1</v>
      </c>
      <c r="L214" t="s">
        <v>18</v>
      </c>
      <c r="M214" t="s">
        <v>41</v>
      </c>
      <c r="N214" s="9">
        <v>3.5561643835616437</v>
      </c>
      <c r="O214" t="s">
        <v>20</v>
      </c>
    </row>
    <row r="215" spans="3:15" x14ac:dyDescent="0.3">
      <c r="C215" t="s">
        <v>694</v>
      </c>
      <c r="D215" t="s">
        <v>695</v>
      </c>
      <c r="E215" t="s">
        <v>696</v>
      </c>
      <c r="F215" t="s">
        <v>24</v>
      </c>
      <c r="G215" t="s">
        <v>36</v>
      </c>
      <c r="H215" s="5">
        <v>93964.3</v>
      </c>
      <c r="I215" t="s">
        <v>26</v>
      </c>
      <c r="J215" s="6">
        <v>44454</v>
      </c>
      <c r="K215">
        <v>0.4</v>
      </c>
      <c r="L215" t="s">
        <v>37</v>
      </c>
      <c r="M215" t="s">
        <v>41</v>
      </c>
      <c r="N215" s="9">
        <v>2.7671232876712328</v>
      </c>
      <c r="O215" t="s">
        <v>28</v>
      </c>
    </row>
    <row r="216" spans="3:15" x14ac:dyDescent="0.3">
      <c r="C216" t="s">
        <v>183</v>
      </c>
      <c r="D216" t="s">
        <v>184</v>
      </c>
      <c r="E216" t="s">
        <v>185</v>
      </c>
      <c r="F216" t="s">
        <v>24</v>
      </c>
      <c r="G216" t="s">
        <v>16</v>
      </c>
      <c r="H216" s="5">
        <v>44403.77</v>
      </c>
      <c r="I216" t="s">
        <v>65</v>
      </c>
      <c r="J216" s="6">
        <v>43416</v>
      </c>
      <c r="K216">
        <v>1</v>
      </c>
      <c r="L216" t="s">
        <v>18</v>
      </c>
      <c r="M216" t="s">
        <v>41</v>
      </c>
      <c r="N216" s="9">
        <v>5.6109589041095891</v>
      </c>
      <c r="O216" t="s">
        <v>20</v>
      </c>
    </row>
    <row r="217" spans="3:15" x14ac:dyDescent="0.3">
      <c r="C217" t="s">
        <v>410</v>
      </c>
      <c r="D217" t="s">
        <v>680</v>
      </c>
      <c r="E217" t="s">
        <v>681</v>
      </c>
      <c r="F217" t="s">
        <v>15</v>
      </c>
      <c r="G217" t="s">
        <v>124</v>
      </c>
      <c r="H217" s="5">
        <v>40445.29</v>
      </c>
      <c r="I217" t="s">
        <v>65</v>
      </c>
      <c r="J217" s="6">
        <v>44393</v>
      </c>
      <c r="K217">
        <v>1</v>
      </c>
      <c r="L217" t="s">
        <v>18</v>
      </c>
      <c r="M217" t="s">
        <v>84</v>
      </c>
      <c r="N217" s="9">
        <v>2.9342465753424656</v>
      </c>
      <c r="O217" t="s">
        <v>20</v>
      </c>
    </row>
    <row r="218" spans="3:15" x14ac:dyDescent="0.3">
      <c r="C218" t="s">
        <v>413</v>
      </c>
      <c r="D218" t="s">
        <v>414</v>
      </c>
      <c r="E218" t="s">
        <v>415</v>
      </c>
      <c r="F218" t="s">
        <v>24</v>
      </c>
      <c r="G218" t="s">
        <v>58</v>
      </c>
      <c r="H218" s="5">
        <v>92336.08</v>
      </c>
      <c r="I218" t="s">
        <v>26</v>
      </c>
      <c r="J218" s="6">
        <v>44431</v>
      </c>
      <c r="K218">
        <v>1</v>
      </c>
      <c r="L218" t="s">
        <v>18</v>
      </c>
      <c r="M218" t="s">
        <v>41</v>
      </c>
      <c r="N218" s="9">
        <v>2.8301369863013699</v>
      </c>
      <c r="O218" t="s">
        <v>20</v>
      </c>
    </row>
    <row r="219" spans="3:15" x14ac:dyDescent="0.3">
      <c r="C219" t="s">
        <v>510</v>
      </c>
      <c r="D219" t="s">
        <v>511</v>
      </c>
      <c r="E219" t="s">
        <v>512</v>
      </c>
      <c r="F219" t="s">
        <v>24</v>
      </c>
      <c r="G219" t="s">
        <v>36</v>
      </c>
      <c r="H219" s="5">
        <v>86010.54</v>
      </c>
      <c r="I219" t="s">
        <v>26</v>
      </c>
      <c r="J219" s="6">
        <v>43164</v>
      </c>
      <c r="K219">
        <v>1</v>
      </c>
      <c r="L219" t="s">
        <v>18</v>
      </c>
      <c r="M219" t="s">
        <v>84</v>
      </c>
      <c r="N219" s="9">
        <v>6.3013698630136989</v>
      </c>
      <c r="O219" t="s">
        <v>20</v>
      </c>
    </row>
    <row r="220" spans="3:15" x14ac:dyDescent="0.3">
      <c r="C220" t="s">
        <v>704</v>
      </c>
      <c r="D220" t="s">
        <v>705</v>
      </c>
      <c r="E220" t="s">
        <v>706</v>
      </c>
      <c r="F220" t="s">
        <v>24</v>
      </c>
      <c r="G220" t="s">
        <v>97</v>
      </c>
      <c r="H220" s="5">
        <v>85264.38</v>
      </c>
      <c r="I220" t="s">
        <v>26</v>
      </c>
      <c r="J220" s="6">
        <v>43220</v>
      </c>
      <c r="K220">
        <v>1</v>
      </c>
      <c r="L220" t="s">
        <v>18</v>
      </c>
      <c r="M220" t="s">
        <v>84</v>
      </c>
      <c r="N220" s="9">
        <v>6.1479452054794521</v>
      </c>
      <c r="O220" t="s">
        <v>20</v>
      </c>
    </row>
    <row r="221" spans="3:15" x14ac:dyDescent="0.3">
      <c r="C221" t="s">
        <v>321</v>
      </c>
      <c r="D221" t="s">
        <v>713</v>
      </c>
      <c r="E221" t="s">
        <v>714</v>
      </c>
      <c r="F221" t="s">
        <v>15</v>
      </c>
      <c r="G221" t="s">
        <v>131</v>
      </c>
      <c r="H221" s="5">
        <v>66572.58</v>
      </c>
      <c r="I221" t="s">
        <v>26</v>
      </c>
      <c r="J221" s="6">
        <v>44193</v>
      </c>
      <c r="K221">
        <v>1</v>
      </c>
      <c r="L221" t="s">
        <v>18</v>
      </c>
      <c r="M221" t="s">
        <v>84</v>
      </c>
      <c r="N221" s="9">
        <v>3.4821917808219176</v>
      </c>
      <c r="O221" t="s">
        <v>20</v>
      </c>
    </row>
    <row r="222" spans="3:15" x14ac:dyDescent="0.3">
      <c r="C222" t="s">
        <v>466</v>
      </c>
      <c r="D222" t="s">
        <v>617</v>
      </c>
      <c r="E222" t="s">
        <v>618</v>
      </c>
      <c r="F222" t="s">
        <v>15</v>
      </c>
      <c r="G222" t="s">
        <v>131</v>
      </c>
      <c r="H222" s="5">
        <v>28481.16</v>
      </c>
      <c r="I222" t="s">
        <v>65</v>
      </c>
      <c r="J222" s="6">
        <v>43916</v>
      </c>
      <c r="K222">
        <v>1</v>
      </c>
      <c r="L222" t="s">
        <v>18</v>
      </c>
      <c r="M222" t="s">
        <v>41</v>
      </c>
      <c r="N222" s="9">
        <v>4.2410958904109588</v>
      </c>
      <c r="O222" t="s">
        <v>20</v>
      </c>
    </row>
    <row r="223" spans="3:15" x14ac:dyDescent="0.3">
      <c r="C223" t="s">
        <v>106</v>
      </c>
      <c r="D223" t="s">
        <v>107</v>
      </c>
      <c r="E223" t="s">
        <v>108</v>
      </c>
      <c r="F223" t="s">
        <v>15</v>
      </c>
      <c r="G223" t="s">
        <v>16</v>
      </c>
      <c r="H223" s="5">
        <v>43329.22</v>
      </c>
      <c r="I223" t="s">
        <v>65</v>
      </c>
      <c r="J223" s="6">
        <v>43809</v>
      </c>
      <c r="K223">
        <v>0.5</v>
      </c>
      <c r="L223" t="s">
        <v>37</v>
      </c>
      <c r="M223" t="s">
        <v>19</v>
      </c>
      <c r="N223" s="9">
        <v>4.5342465753424657</v>
      </c>
      <c r="O223" t="s">
        <v>28</v>
      </c>
    </row>
    <row r="224" spans="3:15" x14ac:dyDescent="0.3">
      <c r="C224" t="s">
        <v>466</v>
      </c>
      <c r="D224" t="s">
        <v>467</v>
      </c>
      <c r="E224" t="s">
        <v>468</v>
      </c>
      <c r="F224" t="s">
        <v>15</v>
      </c>
      <c r="G224" t="s">
        <v>131</v>
      </c>
      <c r="H224" s="5">
        <v>28481.16</v>
      </c>
      <c r="I224" t="s">
        <v>65</v>
      </c>
      <c r="J224" s="6">
        <v>43916</v>
      </c>
      <c r="K224">
        <v>1</v>
      </c>
      <c r="L224" t="s">
        <v>18</v>
      </c>
      <c r="M224" t="s">
        <v>41</v>
      </c>
      <c r="N224" s="9">
        <v>4.2410958904109588</v>
      </c>
      <c r="O224" t="s">
        <v>20</v>
      </c>
    </row>
    <row r="225" spans="3:15" x14ac:dyDescent="0.3">
      <c r="C225" t="s">
        <v>153</v>
      </c>
      <c r="D225" t="s">
        <v>154</v>
      </c>
      <c r="E225" t="s">
        <v>155</v>
      </c>
      <c r="F225" t="s">
        <v>24</v>
      </c>
      <c r="G225" t="s">
        <v>50</v>
      </c>
      <c r="H225" s="5">
        <v>100371.31</v>
      </c>
      <c r="I225" t="s">
        <v>17</v>
      </c>
      <c r="J225" s="6">
        <v>44067</v>
      </c>
      <c r="K225">
        <v>0.8</v>
      </c>
      <c r="L225" t="s">
        <v>37</v>
      </c>
      <c r="M225" t="s">
        <v>77</v>
      </c>
      <c r="N225" s="9">
        <v>3.8273972602739725</v>
      </c>
      <c r="O225" t="s">
        <v>28</v>
      </c>
    </row>
    <row r="226" spans="3:15" x14ac:dyDescent="0.3">
      <c r="C226" t="s">
        <v>159</v>
      </c>
      <c r="D226" t="s">
        <v>160</v>
      </c>
      <c r="E226" t="s">
        <v>161</v>
      </c>
      <c r="F226" t="s">
        <v>15</v>
      </c>
      <c r="G226" t="s">
        <v>36</v>
      </c>
      <c r="H226" s="5">
        <v>114691.03</v>
      </c>
      <c r="I226" t="s">
        <v>17</v>
      </c>
      <c r="J226" s="6">
        <v>44039</v>
      </c>
      <c r="K226">
        <v>1</v>
      </c>
      <c r="L226" t="s">
        <v>76</v>
      </c>
      <c r="M226" t="s">
        <v>45</v>
      </c>
      <c r="N226" s="9">
        <v>3.904109589041096</v>
      </c>
      <c r="O226" t="s">
        <v>20</v>
      </c>
    </row>
    <row r="227" spans="3:15" x14ac:dyDescent="0.3">
      <c r="C227" t="s">
        <v>463</v>
      </c>
      <c r="D227" t="s">
        <v>464</v>
      </c>
      <c r="E227" t="s">
        <v>465</v>
      </c>
      <c r="F227" t="s">
        <v>15</v>
      </c>
      <c r="G227" t="s">
        <v>32</v>
      </c>
      <c r="H227" s="5">
        <v>47646.95</v>
      </c>
      <c r="I227" t="s">
        <v>65</v>
      </c>
      <c r="J227" s="6">
        <v>43791</v>
      </c>
      <c r="K227">
        <v>0.3</v>
      </c>
      <c r="L227" t="s">
        <v>37</v>
      </c>
      <c r="M227" t="s">
        <v>84</v>
      </c>
      <c r="N227" s="9">
        <v>4.5835616438356164</v>
      </c>
      <c r="O227" t="s">
        <v>28</v>
      </c>
    </row>
    <row r="228" spans="3:15" x14ac:dyDescent="0.3">
      <c r="C228" t="s">
        <v>354</v>
      </c>
      <c r="D228" t="s">
        <v>355</v>
      </c>
      <c r="E228" t="s">
        <v>356</v>
      </c>
      <c r="F228" t="s">
        <v>15</v>
      </c>
      <c r="G228" t="s">
        <v>50</v>
      </c>
      <c r="H228" s="5">
        <v>37062.1</v>
      </c>
      <c r="I228" t="s">
        <v>65</v>
      </c>
      <c r="J228" s="6">
        <v>44357</v>
      </c>
      <c r="K228">
        <v>1</v>
      </c>
      <c r="L228" t="s">
        <v>76</v>
      </c>
      <c r="M228" t="s">
        <v>84</v>
      </c>
      <c r="N228" s="9">
        <v>3.032876712328767</v>
      </c>
      <c r="O228" t="s">
        <v>20</v>
      </c>
    </row>
    <row r="229" spans="3:15" x14ac:dyDescent="0.3">
      <c r="C229" t="s">
        <v>428</v>
      </c>
      <c r="D229" t="s">
        <v>429</v>
      </c>
      <c r="E229" t="s">
        <v>430</v>
      </c>
      <c r="F229" t="s">
        <v>24</v>
      </c>
      <c r="G229" t="s">
        <v>50</v>
      </c>
      <c r="H229" s="5">
        <v>71924.850000000006</v>
      </c>
      <c r="I229" t="s">
        <v>26</v>
      </c>
      <c r="J229" s="6">
        <v>43822</v>
      </c>
      <c r="K229">
        <v>1</v>
      </c>
      <c r="L229" t="s">
        <v>18</v>
      </c>
      <c r="M229" t="s">
        <v>84</v>
      </c>
      <c r="N229" s="9">
        <v>4.4986301369863018</v>
      </c>
      <c r="O229" t="s">
        <v>20</v>
      </c>
    </row>
    <row r="230" spans="3:15" x14ac:dyDescent="0.3">
      <c r="C230" t="s">
        <v>557</v>
      </c>
      <c r="D230" t="s">
        <v>558</v>
      </c>
      <c r="E230" t="s">
        <v>559</v>
      </c>
      <c r="F230" t="s">
        <v>24</v>
      </c>
      <c r="G230" t="s">
        <v>16</v>
      </c>
      <c r="H230" s="5">
        <v>118442.54</v>
      </c>
      <c r="I230" t="s">
        <v>17</v>
      </c>
      <c r="J230" s="6">
        <v>44193</v>
      </c>
      <c r="K230">
        <v>1</v>
      </c>
      <c r="L230" t="s">
        <v>18</v>
      </c>
      <c r="M230" t="s">
        <v>77</v>
      </c>
      <c r="N230" s="9">
        <v>3.4821917808219176</v>
      </c>
      <c r="O230" t="s">
        <v>20</v>
      </c>
    </row>
    <row r="231" spans="3:15" x14ac:dyDescent="0.3">
      <c r="C231" t="s">
        <v>270</v>
      </c>
      <c r="D231" t="s">
        <v>271</v>
      </c>
      <c r="E231" t="s">
        <v>272</v>
      </c>
      <c r="F231" t="s">
        <v>15</v>
      </c>
      <c r="G231" t="s">
        <v>131</v>
      </c>
      <c r="H231" s="5">
        <v>28481.16</v>
      </c>
      <c r="I231" t="s">
        <v>65</v>
      </c>
      <c r="J231" s="6">
        <v>44228</v>
      </c>
      <c r="K231">
        <v>1</v>
      </c>
      <c r="L231" t="s">
        <v>76</v>
      </c>
      <c r="M231" t="s">
        <v>84</v>
      </c>
      <c r="N231" s="9">
        <v>3.3863013698630136</v>
      </c>
      <c r="O231" t="s">
        <v>20</v>
      </c>
    </row>
    <row r="232" spans="3:15" x14ac:dyDescent="0.3">
      <c r="C232" t="s">
        <v>273</v>
      </c>
      <c r="D232" t="s">
        <v>274</v>
      </c>
      <c r="E232" t="s">
        <v>275</v>
      </c>
      <c r="F232" t="s">
        <v>15</v>
      </c>
      <c r="G232" t="s">
        <v>105</v>
      </c>
      <c r="H232" s="5">
        <v>32192.15</v>
      </c>
      <c r="I232" t="s">
        <v>65</v>
      </c>
      <c r="J232" s="6">
        <v>44473</v>
      </c>
      <c r="K232">
        <v>1</v>
      </c>
      <c r="L232" t="s">
        <v>18</v>
      </c>
      <c r="M232" t="s">
        <v>41</v>
      </c>
      <c r="N232" s="9">
        <v>2.7150684931506848</v>
      </c>
      <c r="O232" t="s">
        <v>20</v>
      </c>
    </row>
    <row r="233" spans="3:15" x14ac:dyDescent="0.3">
      <c r="C233" t="s">
        <v>469</v>
      </c>
      <c r="D233" t="s">
        <v>470</v>
      </c>
      <c r="E233" t="s">
        <v>471</v>
      </c>
      <c r="F233" t="s">
        <v>24</v>
      </c>
      <c r="G233" t="s">
        <v>105</v>
      </c>
      <c r="H233" s="5">
        <v>39535.49</v>
      </c>
      <c r="I233" t="s">
        <v>65</v>
      </c>
      <c r="J233" s="6">
        <v>43397</v>
      </c>
      <c r="K233">
        <v>0.3</v>
      </c>
      <c r="L233" t="s">
        <v>18</v>
      </c>
      <c r="M233" t="s">
        <v>19</v>
      </c>
      <c r="N233" s="9">
        <v>5.6630136986301371</v>
      </c>
      <c r="O233" t="s">
        <v>28</v>
      </c>
    </row>
    <row r="234" spans="3:15" x14ac:dyDescent="0.3">
      <c r="C234" t="s">
        <v>264</v>
      </c>
      <c r="D234" t="s">
        <v>265</v>
      </c>
      <c r="E234" t="s">
        <v>266</v>
      </c>
      <c r="F234" t="s">
        <v>15</v>
      </c>
      <c r="G234" t="s">
        <v>124</v>
      </c>
      <c r="H234" s="5">
        <v>106775.14</v>
      </c>
      <c r="I234" t="s">
        <v>17</v>
      </c>
      <c r="J234" s="6">
        <v>43563</v>
      </c>
      <c r="K234">
        <v>1</v>
      </c>
      <c r="L234" t="s">
        <v>37</v>
      </c>
      <c r="M234" t="s">
        <v>41</v>
      </c>
      <c r="N234" s="9">
        <v>5.2082191780821914</v>
      </c>
      <c r="O234" t="s">
        <v>20</v>
      </c>
    </row>
    <row r="235" spans="3:15" x14ac:dyDescent="0.3">
      <c r="C235" t="s">
        <v>725</v>
      </c>
      <c r="D235" t="s">
        <v>726</v>
      </c>
      <c r="E235" t="s">
        <v>727</v>
      </c>
      <c r="F235" t="s">
        <v>24</v>
      </c>
      <c r="G235" t="s">
        <v>97</v>
      </c>
      <c r="H235" s="5">
        <v>29808.07</v>
      </c>
      <c r="I235" t="s">
        <v>65</v>
      </c>
      <c r="J235" s="6">
        <v>43291</v>
      </c>
      <c r="K235">
        <v>0.3</v>
      </c>
      <c r="L235" t="s">
        <v>76</v>
      </c>
      <c r="M235" t="s">
        <v>41</v>
      </c>
      <c r="N235" s="9">
        <v>5.9534246575342467</v>
      </c>
      <c r="O235" t="s">
        <v>28</v>
      </c>
    </row>
    <row r="236" spans="3:15" x14ac:dyDescent="0.3">
      <c r="C236" t="s">
        <v>195</v>
      </c>
      <c r="D236" t="s">
        <v>196</v>
      </c>
      <c r="E236" t="s">
        <v>197</v>
      </c>
      <c r="F236" t="s">
        <v>15</v>
      </c>
      <c r="G236" t="s">
        <v>36</v>
      </c>
      <c r="H236" s="5">
        <v>79567.69</v>
      </c>
      <c r="I236" t="s">
        <v>26</v>
      </c>
      <c r="J236" s="6">
        <v>43272</v>
      </c>
      <c r="K236">
        <v>1</v>
      </c>
      <c r="L236" t="s">
        <v>37</v>
      </c>
      <c r="M236" t="s">
        <v>84</v>
      </c>
      <c r="N236" s="9">
        <v>6.0054794520547947</v>
      </c>
      <c r="O236" t="s">
        <v>20</v>
      </c>
    </row>
    <row r="237" spans="3:15" x14ac:dyDescent="0.3">
      <c r="C237" t="s">
        <v>448</v>
      </c>
      <c r="D237" t="s">
        <v>449</v>
      </c>
      <c r="E237" t="s">
        <v>450</v>
      </c>
      <c r="F237" t="s">
        <v>15</v>
      </c>
      <c r="G237" t="s">
        <v>16</v>
      </c>
      <c r="H237" s="5">
        <v>108872.77</v>
      </c>
      <c r="I237" t="s">
        <v>17</v>
      </c>
      <c r="J237" s="6">
        <v>43521</v>
      </c>
      <c r="K237">
        <v>1</v>
      </c>
      <c r="L237" t="s">
        <v>18</v>
      </c>
      <c r="M237" t="s">
        <v>19</v>
      </c>
      <c r="N237" s="9">
        <v>5.3232876712328769</v>
      </c>
      <c r="O237" t="s">
        <v>20</v>
      </c>
    </row>
    <row r="238" spans="3:15" x14ac:dyDescent="0.3">
      <c r="C238" t="s">
        <v>177</v>
      </c>
      <c r="D238" t="s">
        <v>178</v>
      </c>
      <c r="E238" t="s">
        <v>179</v>
      </c>
      <c r="F238" t="s">
        <v>15</v>
      </c>
      <c r="G238" t="s">
        <v>101</v>
      </c>
      <c r="H238" s="5">
        <v>57419.35</v>
      </c>
      <c r="I238" t="s">
        <v>26</v>
      </c>
      <c r="J238" s="6">
        <v>43305</v>
      </c>
      <c r="K238">
        <v>1</v>
      </c>
      <c r="L238" t="s">
        <v>37</v>
      </c>
      <c r="M238" t="s">
        <v>77</v>
      </c>
      <c r="N238" s="9">
        <v>5.9150684931506845</v>
      </c>
      <c r="O238" t="s">
        <v>20</v>
      </c>
    </row>
    <row r="239" spans="3:15" x14ac:dyDescent="0.3">
      <c r="C239" t="s">
        <v>576</v>
      </c>
      <c r="D239" t="s">
        <v>238</v>
      </c>
      <c r="E239" t="s">
        <v>577</v>
      </c>
      <c r="F239" t="s">
        <v>24</v>
      </c>
      <c r="G239" t="s">
        <v>124</v>
      </c>
      <c r="H239" s="5">
        <v>91929.69</v>
      </c>
      <c r="I239" t="s">
        <v>26</v>
      </c>
      <c r="J239" s="6">
        <v>44085</v>
      </c>
      <c r="K239">
        <v>1</v>
      </c>
      <c r="L239" t="s">
        <v>37</v>
      </c>
      <c r="M239" t="s">
        <v>19</v>
      </c>
      <c r="N239" s="9">
        <v>3.7780821917808218</v>
      </c>
      <c r="O239" t="s">
        <v>20</v>
      </c>
    </row>
    <row r="240" spans="3:15" x14ac:dyDescent="0.3">
      <c r="C240" t="s">
        <v>237</v>
      </c>
      <c r="D240" t="s">
        <v>238</v>
      </c>
      <c r="E240" t="s">
        <v>239</v>
      </c>
      <c r="F240" t="s">
        <v>49</v>
      </c>
      <c r="G240" t="s">
        <v>97</v>
      </c>
      <c r="H240" s="5">
        <v>99448.78</v>
      </c>
      <c r="I240" t="s">
        <v>26</v>
      </c>
      <c r="J240" s="6">
        <v>43473</v>
      </c>
      <c r="K240">
        <v>1</v>
      </c>
      <c r="L240" t="s">
        <v>37</v>
      </c>
      <c r="M240" t="s">
        <v>45</v>
      </c>
      <c r="N240" s="9">
        <v>5.4547945205479449</v>
      </c>
      <c r="O240" t="s">
        <v>20</v>
      </c>
    </row>
    <row r="241" spans="3:15" x14ac:dyDescent="0.3">
      <c r="C241" t="s">
        <v>237</v>
      </c>
      <c r="D241" t="s">
        <v>238</v>
      </c>
      <c r="E241" t="s">
        <v>239</v>
      </c>
      <c r="F241" t="s">
        <v>49</v>
      </c>
      <c r="G241" t="s">
        <v>97</v>
      </c>
      <c r="H241" s="5">
        <v>99448.78</v>
      </c>
      <c r="I241" t="s">
        <v>26</v>
      </c>
      <c r="J241" s="6">
        <v>43473</v>
      </c>
      <c r="K241">
        <v>1</v>
      </c>
      <c r="L241" t="s">
        <v>37</v>
      </c>
      <c r="M241" t="s">
        <v>45</v>
      </c>
      <c r="N241" s="9">
        <v>5.4547945205479449</v>
      </c>
      <c r="O241" t="s">
        <v>20</v>
      </c>
    </row>
    <row r="242" spans="3:15" x14ac:dyDescent="0.3">
      <c r="C242" t="s">
        <v>261</v>
      </c>
      <c r="D242" t="s">
        <v>262</v>
      </c>
      <c r="E242" t="s">
        <v>263</v>
      </c>
      <c r="F242" t="s">
        <v>15</v>
      </c>
      <c r="G242" t="s">
        <v>105</v>
      </c>
      <c r="H242" s="5">
        <v>83191.95</v>
      </c>
      <c r="I242" t="s">
        <v>26</v>
      </c>
      <c r="J242" s="6">
        <v>43700</v>
      </c>
      <c r="K242">
        <v>0.6</v>
      </c>
      <c r="L242" t="s">
        <v>76</v>
      </c>
      <c r="M242" t="s">
        <v>19</v>
      </c>
      <c r="N242" s="9">
        <v>4.8328767123287673</v>
      </c>
      <c r="O242" t="s">
        <v>28</v>
      </c>
    </row>
    <row r="243" spans="3:15" x14ac:dyDescent="0.3">
      <c r="C243" t="s">
        <v>425</v>
      </c>
      <c r="D243" t="s">
        <v>426</v>
      </c>
      <c r="E243" t="s">
        <v>427</v>
      </c>
      <c r="F243" t="s">
        <v>24</v>
      </c>
      <c r="G243" t="s">
        <v>58</v>
      </c>
      <c r="H243" s="5">
        <v>96555.53</v>
      </c>
      <c r="I243" t="s">
        <v>26</v>
      </c>
      <c r="J243" s="6">
        <v>43489</v>
      </c>
      <c r="K243">
        <v>0.2</v>
      </c>
      <c r="L243" t="s">
        <v>76</v>
      </c>
      <c r="M243" t="s">
        <v>41</v>
      </c>
      <c r="N243" s="9">
        <v>5.4109589041095889</v>
      </c>
      <c r="O243" t="s">
        <v>28</v>
      </c>
    </row>
    <row r="244" spans="3:15" x14ac:dyDescent="0.3">
      <c r="C244" t="s">
        <v>475</v>
      </c>
      <c r="D244" t="s">
        <v>476</v>
      </c>
      <c r="E244" t="s">
        <v>477</v>
      </c>
      <c r="F244" t="s">
        <v>15</v>
      </c>
      <c r="G244" t="s">
        <v>25</v>
      </c>
      <c r="H244" s="5">
        <v>69764.100000000006</v>
      </c>
      <c r="I244" t="s">
        <v>26</v>
      </c>
      <c r="J244" s="6">
        <v>44195</v>
      </c>
      <c r="K244">
        <v>1</v>
      </c>
      <c r="L244" t="s">
        <v>37</v>
      </c>
      <c r="M244" t="s">
        <v>27</v>
      </c>
      <c r="N244" s="9">
        <v>3.4767123287671233</v>
      </c>
      <c r="O244" t="s">
        <v>20</v>
      </c>
    </row>
    <row r="245" spans="3:15" x14ac:dyDescent="0.3">
      <c r="C245" t="s">
        <v>144</v>
      </c>
      <c r="D245" t="s">
        <v>145</v>
      </c>
      <c r="E245" t="s">
        <v>146</v>
      </c>
      <c r="F245" t="s">
        <v>15</v>
      </c>
      <c r="G245" t="s">
        <v>36</v>
      </c>
      <c r="H245" s="5">
        <v>53949.26</v>
      </c>
      <c r="I245" t="s">
        <v>26</v>
      </c>
      <c r="J245" s="6">
        <v>43808</v>
      </c>
      <c r="K245">
        <v>1</v>
      </c>
      <c r="L245" t="s">
        <v>76</v>
      </c>
      <c r="M245" t="s">
        <v>72</v>
      </c>
      <c r="N245" s="9">
        <v>4.536986301369863</v>
      </c>
      <c r="O245" t="s">
        <v>20</v>
      </c>
    </row>
    <row r="246" spans="3:15" x14ac:dyDescent="0.3">
      <c r="C246" t="s">
        <v>144</v>
      </c>
      <c r="D246" t="s">
        <v>145</v>
      </c>
      <c r="E246" t="s">
        <v>146</v>
      </c>
      <c r="F246" t="s">
        <v>15</v>
      </c>
      <c r="G246" t="s">
        <v>36</v>
      </c>
      <c r="H246" s="5">
        <v>53949.26</v>
      </c>
      <c r="I246" t="s">
        <v>26</v>
      </c>
      <c r="J246" s="6">
        <v>43808</v>
      </c>
      <c r="K246">
        <v>1</v>
      </c>
      <c r="L246" t="s">
        <v>76</v>
      </c>
      <c r="M246" t="s">
        <v>72</v>
      </c>
      <c r="N246" s="9">
        <v>4.536986301369863</v>
      </c>
      <c r="O246" t="s">
        <v>20</v>
      </c>
    </row>
    <row r="247" spans="3:15" x14ac:dyDescent="0.3">
      <c r="C247" t="s">
        <v>457</v>
      </c>
      <c r="D247" t="s">
        <v>458</v>
      </c>
      <c r="E247" t="s">
        <v>459</v>
      </c>
      <c r="F247" t="s">
        <v>24</v>
      </c>
      <c r="G247" t="s">
        <v>124</v>
      </c>
      <c r="H247" s="5">
        <v>106665.67</v>
      </c>
      <c r="I247" t="s">
        <v>17</v>
      </c>
      <c r="J247" s="6">
        <v>43311</v>
      </c>
      <c r="K247">
        <v>1</v>
      </c>
      <c r="L247" t="s">
        <v>76</v>
      </c>
      <c r="M247" t="s">
        <v>72</v>
      </c>
      <c r="N247" s="9">
        <v>5.8986301369863012</v>
      </c>
      <c r="O247" t="s">
        <v>20</v>
      </c>
    </row>
    <row r="248" spans="3:15" x14ac:dyDescent="0.3">
      <c r="C248" t="s">
        <v>627</v>
      </c>
      <c r="D248" t="s">
        <v>628</v>
      </c>
      <c r="E248" t="s">
        <v>629</v>
      </c>
      <c r="F248" t="s">
        <v>24</v>
      </c>
      <c r="G248" t="s">
        <v>36</v>
      </c>
      <c r="H248" s="5">
        <v>96135.75</v>
      </c>
      <c r="I248" t="s">
        <v>26</v>
      </c>
      <c r="J248" s="6">
        <v>44025</v>
      </c>
      <c r="K248">
        <v>0.3</v>
      </c>
      <c r="L248" t="s">
        <v>18</v>
      </c>
      <c r="M248" t="s">
        <v>45</v>
      </c>
      <c r="N248" s="9">
        <v>3.9424657534246577</v>
      </c>
      <c r="O248" t="s">
        <v>28</v>
      </c>
    </row>
    <row r="249" spans="3:15" x14ac:dyDescent="0.3">
      <c r="C249" t="s">
        <v>300</v>
      </c>
      <c r="D249" t="s">
        <v>301</v>
      </c>
      <c r="E249" t="s">
        <v>302</v>
      </c>
      <c r="F249" t="s">
        <v>24</v>
      </c>
      <c r="G249" t="s">
        <v>50</v>
      </c>
      <c r="H249" s="5">
        <v>104038.9</v>
      </c>
      <c r="I249" t="s">
        <v>17</v>
      </c>
      <c r="J249" s="6">
        <v>43815</v>
      </c>
      <c r="K249">
        <v>1</v>
      </c>
      <c r="L249" t="s">
        <v>37</v>
      </c>
      <c r="M249" t="s">
        <v>19</v>
      </c>
      <c r="N249" s="9">
        <v>4.5178082191780824</v>
      </c>
      <c r="O249" t="s">
        <v>20</v>
      </c>
    </row>
    <row r="250" spans="3:15" x14ac:dyDescent="0.3">
      <c r="C250" t="s">
        <v>516</v>
      </c>
      <c r="D250" t="s">
        <v>517</v>
      </c>
      <c r="E250" t="s">
        <v>518</v>
      </c>
      <c r="F250" t="s">
        <v>15</v>
      </c>
      <c r="G250" t="s">
        <v>16</v>
      </c>
      <c r="H250" s="5">
        <v>61624.77</v>
      </c>
      <c r="I250" t="s">
        <v>26</v>
      </c>
      <c r="J250" s="6">
        <v>43430</v>
      </c>
      <c r="K250">
        <v>0.3</v>
      </c>
      <c r="L250" t="s">
        <v>37</v>
      </c>
      <c r="M250" t="s">
        <v>41</v>
      </c>
      <c r="N250" s="9">
        <v>5.5726027397260278</v>
      </c>
      <c r="O250" t="s">
        <v>28</v>
      </c>
    </row>
    <row r="251" spans="3:15" x14ac:dyDescent="0.3">
      <c r="C251" t="s">
        <v>608</v>
      </c>
      <c r="D251" t="s">
        <v>283</v>
      </c>
      <c r="E251" t="s">
        <v>284</v>
      </c>
      <c r="F251" t="s">
        <v>24</v>
      </c>
      <c r="G251" t="s">
        <v>780</v>
      </c>
      <c r="H251" s="5">
        <v>80695.740000000005</v>
      </c>
      <c r="I251" t="s">
        <v>26</v>
      </c>
      <c r="J251" s="6">
        <v>43360</v>
      </c>
      <c r="K251">
        <v>1</v>
      </c>
      <c r="L251" t="s">
        <v>18</v>
      </c>
      <c r="M251" t="s">
        <v>72</v>
      </c>
      <c r="N251" s="9">
        <v>5.7643835616438359</v>
      </c>
      <c r="O251" t="s">
        <v>20</v>
      </c>
    </row>
    <row r="252" spans="3:15" x14ac:dyDescent="0.3">
      <c r="C252" t="s">
        <v>608</v>
      </c>
      <c r="D252" t="s">
        <v>283</v>
      </c>
      <c r="E252" t="s">
        <v>284</v>
      </c>
      <c r="F252" t="s">
        <v>24</v>
      </c>
      <c r="G252" t="s">
        <v>780</v>
      </c>
      <c r="H252" s="5">
        <v>85000</v>
      </c>
      <c r="I252" t="s">
        <v>26</v>
      </c>
      <c r="J252" s="6">
        <v>43360</v>
      </c>
      <c r="K252">
        <v>1</v>
      </c>
      <c r="L252" t="s">
        <v>18</v>
      </c>
      <c r="M252" t="s">
        <v>72</v>
      </c>
      <c r="N252" s="9">
        <v>5.7643835616438359</v>
      </c>
      <c r="O252" t="s">
        <v>20</v>
      </c>
    </row>
    <row r="253" spans="3:15" x14ac:dyDescent="0.3">
      <c r="C253" t="s">
        <v>282</v>
      </c>
      <c r="D253" t="s">
        <v>283</v>
      </c>
      <c r="E253" t="s">
        <v>284</v>
      </c>
      <c r="F253" t="s">
        <v>24</v>
      </c>
      <c r="G253" t="s">
        <v>25</v>
      </c>
      <c r="H253" s="5">
        <v>80695.740000000005</v>
      </c>
      <c r="I253" t="s">
        <v>26</v>
      </c>
      <c r="J253" s="6">
        <v>43787</v>
      </c>
      <c r="K253">
        <v>0.8</v>
      </c>
      <c r="L253" t="s">
        <v>18</v>
      </c>
      <c r="M253" t="s">
        <v>72</v>
      </c>
      <c r="N253" s="9">
        <v>4.5945205479452058</v>
      </c>
      <c r="O253" t="s">
        <v>28</v>
      </c>
    </row>
    <row r="254" spans="3:15" x14ac:dyDescent="0.3">
      <c r="C254" t="s">
        <v>410</v>
      </c>
      <c r="D254" t="s">
        <v>411</v>
      </c>
      <c r="E254" t="s">
        <v>412</v>
      </c>
      <c r="F254" t="s">
        <v>15</v>
      </c>
      <c r="G254" t="s">
        <v>124</v>
      </c>
      <c r="H254" s="5">
        <v>40445.29</v>
      </c>
      <c r="I254" t="s">
        <v>65</v>
      </c>
      <c r="J254" s="6">
        <v>44393</v>
      </c>
      <c r="K254">
        <v>1</v>
      </c>
      <c r="L254" t="s">
        <v>18</v>
      </c>
      <c r="M254" t="s">
        <v>84</v>
      </c>
      <c r="N254" s="9">
        <v>2.9342465753424656</v>
      </c>
      <c r="O254" t="s">
        <v>20</v>
      </c>
    </row>
    <row r="255" spans="3:15" x14ac:dyDescent="0.3">
      <c r="C255" t="s">
        <v>94</v>
      </c>
      <c r="D255" t="s">
        <v>95</v>
      </c>
      <c r="E255" t="s">
        <v>96</v>
      </c>
      <c r="F255" t="s">
        <v>15</v>
      </c>
      <c r="G255" t="s">
        <v>97</v>
      </c>
      <c r="H255" s="5">
        <v>50310.09</v>
      </c>
      <c r="I255" t="s">
        <v>26</v>
      </c>
      <c r="J255" s="6">
        <v>44285</v>
      </c>
      <c r="K255">
        <v>0.4</v>
      </c>
      <c r="L255" t="s">
        <v>18</v>
      </c>
      <c r="M255" t="s">
        <v>41</v>
      </c>
      <c r="N255" s="9">
        <v>3.2301369863013698</v>
      </c>
      <c r="O255" t="s">
        <v>28</v>
      </c>
    </row>
    <row r="256" spans="3:15" x14ac:dyDescent="0.3">
      <c r="C256" t="s">
        <v>264</v>
      </c>
      <c r="D256" t="s">
        <v>363</v>
      </c>
      <c r="E256" t="s">
        <v>364</v>
      </c>
      <c r="F256" t="s">
        <v>15</v>
      </c>
      <c r="G256" t="s">
        <v>124</v>
      </c>
      <c r="H256" s="5">
        <v>106775.14</v>
      </c>
      <c r="I256" t="s">
        <v>17</v>
      </c>
      <c r="J256" s="6">
        <v>43563</v>
      </c>
      <c r="K256">
        <v>1</v>
      </c>
      <c r="L256" t="s">
        <v>37</v>
      </c>
      <c r="M256" t="s">
        <v>41</v>
      </c>
      <c r="N256" s="9">
        <v>5.2082191780821914</v>
      </c>
      <c r="O256" t="s">
        <v>20</v>
      </c>
    </row>
    <row r="257" spans="3:15" x14ac:dyDescent="0.3">
      <c r="C257" t="s">
        <v>560</v>
      </c>
      <c r="D257" t="s">
        <v>561</v>
      </c>
      <c r="E257" t="s">
        <v>562</v>
      </c>
      <c r="F257" t="s">
        <v>24</v>
      </c>
      <c r="G257" t="s">
        <v>36</v>
      </c>
      <c r="H257" s="5">
        <v>84745.93</v>
      </c>
      <c r="I257" t="s">
        <v>26</v>
      </c>
      <c r="J257" s="6">
        <v>43707</v>
      </c>
      <c r="K257">
        <v>1</v>
      </c>
      <c r="L257" t="s">
        <v>18</v>
      </c>
      <c r="M257" t="s">
        <v>45</v>
      </c>
      <c r="N257" s="9">
        <v>4.8136986301369866</v>
      </c>
      <c r="O257" t="s">
        <v>20</v>
      </c>
    </row>
    <row r="258" spans="3:15" x14ac:dyDescent="0.3">
      <c r="C258" t="s">
        <v>171</v>
      </c>
      <c r="D258" t="s">
        <v>172</v>
      </c>
      <c r="E258" t="s">
        <v>173</v>
      </c>
      <c r="F258" t="s">
        <v>24</v>
      </c>
      <c r="G258" t="s">
        <v>50</v>
      </c>
      <c r="H258" s="5">
        <v>58935.92</v>
      </c>
      <c r="I258" t="s">
        <v>26</v>
      </c>
      <c r="J258" s="6">
        <v>43717</v>
      </c>
      <c r="K258">
        <v>1</v>
      </c>
      <c r="L258" t="s">
        <v>76</v>
      </c>
      <c r="M258" t="s">
        <v>41</v>
      </c>
      <c r="N258" s="9">
        <v>4.7863013698630139</v>
      </c>
      <c r="O258" t="s">
        <v>20</v>
      </c>
    </row>
    <row r="259" spans="3:15" x14ac:dyDescent="0.3">
      <c r="C259" t="s">
        <v>78</v>
      </c>
      <c r="D259" t="s">
        <v>79</v>
      </c>
      <c r="E259" t="s">
        <v>80</v>
      </c>
      <c r="F259" t="s">
        <v>15</v>
      </c>
      <c r="G259" t="s">
        <v>50</v>
      </c>
      <c r="H259" s="5">
        <v>54137.05</v>
      </c>
      <c r="I259" t="s">
        <v>26</v>
      </c>
      <c r="J259" s="6">
        <v>43763</v>
      </c>
      <c r="K259">
        <v>1</v>
      </c>
      <c r="L259" t="s">
        <v>18</v>
      </c>
      <c r="M259" t="s">
        <v>19</v>
      </c>
      <c r="N259" s="9">
        <v>4.6602739726027398</v>
      </c>
      <c r="O259" t="s">
        <v>20</v>
      </c>
    </row>
    <row r="260" spans="3:15" x14ac:dyDescent="0.3">
      <c r="C260" t="s">
        <v>636</v>
      </c>
      <c r="D260" t="s">
        <v>637</v>
      </c>
      <c r="E260" t="s">
        <v>638</v>
      </c>
      <c r="F260" t="s">
        <v>24</v>
      </c>
      <c r="G260" t="s">
        <v>124</v>
      </c>
      <c r="H260" s="5">
        <v>49625.64</v>
      </c>
      <c r="I260" t="s">
        <v>65</v>
      </c>
      <c r="J260" s="6">
        <v>44384</v>
      </c>
      <c r="K260">
        <v>0.5</v>
      </c>
      <c r="L260" t="s">
        <v>37</v>
      </c>
      <c r="M260" t="s">
        <v>19</v>
      </c>
      <c r="N260" s="9">
        <v>2.9589041095890409</v>
      </c>
      <c r="O260" t="s">
        <v>28</v>
      </c>
    </row>
    <row r="261" spans="3:15" x14ac:dyDescent="0.3">
      <c r="C261" t="s">
        <v>495</v>
      </c>
      <c r="D261" t="s">
        <v>496</v>
      </c>
      <c r="E261" t="s">
        <v>497</v>
      </c>
      <c r="F261" t="s">
        <v>24</v>
      </c>
      <c r="G261" t="s">
        <v>50</v>
      </c>
      <c r="H261" s="5">
        <v>28974.03</v>
      </c>
      <c r="I261" t="s">
        <v>65</v>
      </c>
      <c r="J261" s="6">
        <v>43733</v>
      </c>
      <c r="K261">
        <v>1</v>
      </c>
      <c r="L261" t="s">
        <v>18</v>
      </c>
      <c r="M261" t="s">
        <v>77</v>
      </c>
      <c r="N261" s="9">
        <v>4.7424657534246579</v>
      </c>
      <c r="O261" t="s">
        <v>20</v>
      </c>
    </row>
    <row r="262" spans="3:15" x14ac:dyDescent="0.3">
      <c r="C262" t="s">
        <v>147</v>
      </c>
      <c r="D262" t="s">
        <v>148</v>
      </c>
      <c r="E262" t="s">
        <v>149</v>
      </c>
      <c r="F262" t="s">
        <v>15</v>
      </c>
      <c r="G262" t="s">
        <v>131</v>
      </c>
      <c r="H262" s="5">
        <v>113616.23</v>
      </c>
      <c r="I262" t="s">
        <v>17</v>
      </c>
      <c r="J262" s="6">
        <v>43255</v>
      </c>
      <c r="K262">
        <v>1</v>
      </c>
      <c r="L262" t="s">
        <v>18</v>
      </c>
      <c r="M262" t="s">
        <v>19</v>
      </c>
      <c r="N262" s="9">
        <v>6.0520547945205481</v>
      </c>
      <c r="O262" t="s">
        <v>20</v>
      </c>
    </row>
    <row r="263" spans="3:15" x14ac:dyDescent="0.3">
      <c r="C263" t="s">
        <v>69</v>
      </c>
      <c r="D263" t="s">
        <v>70</v>
      </c>
      <c r="E263" t="s">
        <v>71</v>
      </c>
      <c r="F263" t="s">
        <v>24</v>
      </c>
      <c r="G263" t="s">
        <v>25</v>
      </c>
      <c r="H263" s="5">
        <v>69192.850000000006</v>
      </c>
      <c r="I263" t="s">
        <v>26</v>
      </c>
      <c r="J263" s="6">
        <v>44305</v>
      </c>
      <c r="K263">
        <v>1</v>
      </c>
      <c r="L263" t="s">
        <v>18</v>
      </c>
      <c r="M263" t="s">
        <v>72</v>
      </c>
      <c r="N263" s="9">
        <v>3.1753424657534248</v>
      </c>
      <c r="O263" t="s">
        <v>20</v>
      </c>
    </row>
    <row r="264" spans="3:15" x14ac:dyDescent="0.3">
      <c r="C264" t="s">
        <v>46</v>
      </c>
      <c r="D264" t="s">
        <v>47</v>
      </c>
      <c r="E264" t="s">
        <v>48</v>
      </c>
      <c r="F264" t="s">
        <v>49</v>
      </c>
      <c r="G264" t="s">
        <v>50</v>
      </c>
      <c r="H264" s="5">
        <v>104802.63</v>
      </c>
      <c r="I264" t="s">
        <v>17</v>
      </c>
      <c r="J264" s="6">
        <v>44502</v>
      </c>
      <c r="K264">
        <v>1</v>
      </c>
      <c r="L264" t="s">
        <v>18</v>
      </c>
      <c r="M264" t="s">
        <v>41</v>
      </c>
      <c r="N264" s="9">
        <v>2.6356164383561644</v>
      </c>
      <c r="O264" t="s">
        <v>20</v>
      </c>
    </row>
    <row r="265" spans="3:15" x14ac:dyDescent="0.3">
      <c r="C265" t="s">
        <v>581</v>
      </c>
      <c r="D265" t="s">
        <v>582</v>
      </c>
      <c r="E265" t="s">
        <v>583</v>
      </c>
      <c r="F265" t="s">
        <v>15</v>
      </c>
      <c r="G265" t="s">
        <v>101</v>
      </c>
      <c r="H265" s="5">
        <v>57925.91</v>
      </c>
      <c r="I265" t="s">
        <v>26</v>
      </c>
      <c r="J265" s="6">
        <v>43572</v>
      </c>
      <c r="K265">
        <v>0.5</v>
      </c>
      <c r="L265" t="s">
        <v>18</v>
      </c>
      <c r="M265" t="s">
        <v>45</v>
      </c>
      <c r="N265" s="9">
        <v>5.183561643835616</v>
      </c>
      <c r="O265" t="s">
        <v>28</v>
      </c>
    </row>
    <row r="266" spans="3:15" x14ac:dyDescent="0.3">
      <c r="C266" t="s">
        <v>135</v>
      </c>
      <c r="D266" t="s">
        <v>136</v>
      </c>
      <c r="E266" t="s">
        <v>137</v>
      </c>
      <c r="F266" t="s">
        <v>15</v>
      </c>
      <c r="G266" t="s">
        <v>97</v>
      </c>
      <c r="H266" s="5">
        <v>76320.44</v>
      </c>
      <c r="I266" t="s">
        <v>26</v>
      </c>
      <c r="J266" s="6">
        <v>44383</v>
      </c>
      <c r="K266">
        <v>0.8</v>
      </c>
      <c r="L266" t="s">
        <v>76</v>
      </c>
      <c r="M266" t="s">
        <v>19</v>
      </c>
      <c r="N266" s="9">
        <v>2.9616438356164383</v>
      </c>
      <c r="O266" t="s">
        <v>28</v>
      </c>
    </row>
    <row r="267" spans="3:15" x14ac:dyDescent="0.3">
      <c r="C267" t="s">
        <v>572</v>
      </c>
      <c r="D267" t="s">
        <v>573</v>
      </c>
      <c r="E267" t="s">
        <v>574</v>
      </c>
      <c r="F267" t="s">
        <v>15</v>
      </c>
      <c r="G267" t="s">
        <v>54</v>
      </c>
      <c r="H267" s="5">
        <v>53535.62</v>
      </c>
      <c r="I267" t="s">
        <v>26</v>
      </c>
      <c r="J267" s="6">
        <v>44110</v>
      </c>
      <c r="K267">
        <v>0.5</v>
      </c>
      <c r="L267" t="s">
        <v>37</v>
      </c>
      <c r="M267" t="s">
        <v>27</v>
      </c>
      <c r="N267" s="9">
        <v>3.7095890410958905</v>
      </c>
      <c r="O267" t="s">
        <v>28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Concepts</vt:lpstr>
      <vt:lpstr>1</vt:lpstr>
      <vt:lpstr>2 &amp; 3</vt:lpstr>
      <vt:lpstr>4</vt:lpstr>
      <vt:lpstr>5</vt:lpstr>
      <vt:lpstr>6 &amp; 7</vt:lpstr>
      <vt:lpstr>8</vt:lpstr>
      <vt:lpstr>9</vt:lpstr>
      <vt:lpstr>10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CH PAVAN KUMAR</cp:lastModifiedBy>
  <dcterms:created xsi:type="dcterms:W3CDTF">2021-03-14T20:21:32Z</dcterms:created>
  <dcterms:modified xsi:type="dcterms:W3CDTF">2025-12-06T14:39:28Z</dcterms:modified>
</cp:coreProperties>
</file>